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Итоги по годам" sheetId="2" state="visible" r:id="rId4"/>
    <sheet name="KPI по кварталам" sheetId="3" state="visible" r:id="rId5"/>
    <sheet name="Юнит-экономика" sheetId="4" state="visible" r:id="rId6"/>
    <sheet name="Сценарии" sheetId="5" state="visible" r:id="rId7"/>
    <sheet name="Чувствительность" sheetId="6" state="visible" r:id="rId8"/>
    <sheet name="Монте-Карло" sheetId="7" state="visible" r:id="rId9"/>
    <sheet name="Риски" sheetId="8" state="visible" r:id="rId10"/>
    <sheet name="Допущения" sheetId="9" state="visible" r:id="rId11"/>
    <sheet name="Модель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Переключатель сценария. Меняет все параметры в таблице ниже.</t>
        </r>
      </text>
    </comment>
  </commentList>
</comments>
</file>

<file path=xl/sharedStrings.xml><?xml version="1.0" encoding="utf-8"?>
<sst xmlns="http://schemas.openxmlformats.org/spreadsheetml/2006/main" count="643" uniqueCount="524">
  <si>
    <t xml:space="preserve">The Aldera · финансовая модель · сводка</t>
  </si>
  <si>
    <t xml:space="preserve">518 GROUP LLC. 4 продукта Vox Nutrition, каналы TikTok Shop, Shopify, Amazon. Старт продаж 20.11.2026. Вложение двумя траншами. Платная реклама только Spark Ads на выстрелившие ролики, с февраля 2027.</t>
  </si>
  <si>
    <t xml:space="preserve">Активный сценарий (1 конс., 2 база, 3 опт.):</t>
  </si>
  <si>
    <t xml:space="preserve">Показатель</t>
  </si>
  <si>
    <t xml:space="preserve">Год 1</t>
  </si>
  <si>
    <t xml:space="preserve">Год 2</t>
  </si>
  <si>
    <t xml:space="preserve">Год 3</t>
  </si>
  <si>
    <t xml:space="preserve">Выручка</t>
  </si>
  <si>
    <t xml:space="preserve">Маржинальная прибыль</t>
  </si>
  <si>
    <t xml:space="preserve">Маржинальность</t>
  </si>
  <si>
    <t xml:space="preserve">Постоянные расходы</t>
  </si>
  <si>
    <t xml:space="preserve">EBITDA</t>
  </si>
  <si>
    <t xml:space="preserve">Рентабельность по EBITDA</t>
  </si>
  <si>
    <t xml:space="preserve">Чистая прибыль после налога (оценка)</t>
  </si>
  <si>
    <t xml:space="preserve">Заказов всего</t>
  </si>
  <si>
    <t xml:space="preserve">Подписчиков на конец года</t>
  </si>
  <si>
    <t xml:space="preserve">Криейторов на конец года</t>
  </si>
  <si>
    <t xml:space="preserve">Деньги на счёте на конец года</t>
  </si>
  <si>
    <t xml:space="preserve">Минимум денег на счёте</t>
  </si>
  <si>
    <t xml:space="preserve">Месяц выхода на темп $1 млн EBITDA в год (1 = ноябрь 2026)</t>
  </si>
  <si>
    <t xml:space="preserve">Главные выводы (базовый сценарий, снимок 03.10.2026)</t>
  </si>
  <si>
    <t xml:space="preserve">• Вложения окупаются EBITDA на 2-м месяце (декабрь 2026), темп $1 млн EBITDA в год на 7-м месяце (май 2027).</t>
  </si>
  <si>
    <t xml:space="preserve">• Узкое место декабрь 2026: при запасе товара 1,3 месяца денег не хватает на $8 323. Решение: второй транш $21 000 вместо $5 000 (покрывает 90% исходов Монте-Карло) или запас 1,0 месяца в декабре.</t>
  </si>
  <si>
    <t xml:space="preserve">• Монте-Карло, 5 000 прогонов: EBITDA года 1 от $547 тыс. (P10) до $1 391 тыс. (P90), медиана $875 тыс.</t>
  </si>
  <si>
    <t xml:space="preserve">• Вероятность EBITDA года 2 не меньше $1 млн: больше 99%. Вероятность, что при транше $5 000 денег не хватит: 68%, нехватка до $15 508 (P90).</t>
  </si>
  <si>
    <t xml:space="preserve">• Главные рычаги прибыли: конверсия просмотра в заказ, просмотры на ролик, скорость набора криейторов, переход в подписку.</t>
  </si>
  <si>
    <t xml:space="preserve">• Без Amazon EBITDA года 1 остаётся в плюсе уже при конверсии 0,0041%; $1 млн EBITDA во 2-м году без Amazon при конверсии от 0,016%.</t>
  </si>
  <si>
    <t xml:space="preserve">The Aldera · итоги по годам модели</t>
  </si>
  <si>
    <t xml:space="preserve">Год 1: ноябрь 2026 - октябрь 2027. Год 2: ноябрь 2027 - октябрь 2028. Год 3: ноябрь 2028 - октябрь 2029. Сценарий на листе «Допущения», ячейка B3.</t>
  </si>
  <si>
    <t xml:space="preserve">Итого 3 года</t>
  </si>
  <si>
    <t xml:space="preserve">Заказы TikTok</t>
  </si>
  <si>
    <t xml:space="preserve">Заказы Shopify прямые</t>
  </si>
  <si>
    <t xml:space="preserve">Заказы подписки</t>
  </si>
  <si>
    <t xml:space="preserve">Заказы Amazon</t>
  </si>
  <si>
    <t xml:space="preserve">Всего заказов</t>
  </si>
  <si>
    <t xml:space="preserve">Банок продано</t>
  </si>
  <si>
    <t xml:space="preserve">Выручка TikTok Shop</t>
  </si>
  <si>
    <t xml:space="preserve">Выручка Shopify: первые</t>
  </si>
  <si>
    <t xml:space="preserve">Выручка Shopify: подписка</t>
  </si>
  <si>
    <t xml:space="preserve">Выручка Amazon</t>
  </si>
  <si>
    <t xml:space="preserve">Выручка всего</t>
  </si>
  <si>
    <t xml:space="preserve">Товар (Vox)</t>
  </si>
  <si>
    <t xml:space="preserve">Комиссия TikTok Shop</t>
  </si>
  <si>
    <t xml:space="preserve">Комиссия криейторов</t>
  </si>
  <si>
    <t xml:space="preserve">Эквайринг Shopify</t>
  </si>
  <si>
    <t xml:space="preserve">Amazon: комиссия и FBA</t>
  </si>
  <si>
    <t xml:space="preserve">Amazon: реклама PPC</t>
  </si>
  <si>
    <t xml:space="preserve">Доставка покупателю</t>
  </si>
  <si>
    <t xml:space="preserve">Склад-отправщик</t>
  </si>
  <si>
    <t xml:space="preserve">Возвраты</t>
  </si>
  <si>
    <t xml:space="preserve">Сервисы и ПО</t>
  </si>
  <si>
    <t xml:space="preserve">Страховка</t>
  </si>
  <si>
    <t xml:space="preserve">Бухгалтерия и юристы</t>
  </si>
  <si>
    <t xml:space="preserve">Команда</t>
  </si>
  <si>
    <t xml:space="preserve">Реклама: Spark Ads и прочая</t>
  </si>
  <si>
    <t xml:space="preserve">EBITDA (прибыль до налога)</t>
  </si>
  <si>
    <t xml:space="preserve">Налог, оценка</t>
  </si>
  <si>
    <t xml:space="preserve">Чистая прибыль</t>
  </si>
  <si>
    <t xml:space="preserve">Закупка товара у Vox</t>
  </si>
  <si>
    <t xml:space="preserve">Минимум денег на счёте за 3 года</t>
  </si>
  <si>
    <t xml:space="preserve">Месяц выхода на темп $1 млн EBITDA в год</t>
  </si>
  <si>
    <t xml:space="preserve">Окупаемость вложений, месяц (накопленная EBITDA &gt; вложений)</t>
  </si>
  <si>
    <t xml:space="preserve">см. лист «Сводка»</t>
  </si>
  <si>
    <t xml:space="preserve">KPI по кварталам: цели для ежемесячного контроля</t>
  </si>
  <si>
    <t xml:space="preserve">Квартал 1 = ноябрь 2026 - январь 2027. Живые формулы из листа «Модель».</t>
  </si>
  <si>
    <t xml:space="preserve">Q1 ноя26-янв27</t>
  </si>
  <si>
    <t xml:space="preserve">Q2 фев-апр27</t>
  </si>
  <si>
    <t xml:space="preserve">Q3 май-июл27</t>
  </si>
  <si>
    <t xml:space="preserve">Q4 авг-окт27</t>
  </si>
  <si>
    <t xml:space="preserve">Q5 ноя27-янв28</t>
  </si>
  <si>
    <t xml:space="preserve">Q6 фев-апр28</t>
  </si>
  <si>
    <t xml:space="preserve">Q7 май-июл28</t>
  </si>
  <si>
    <t xml:space="preserve">Q8 авг-окт28</t>
  </si>
  <si>
    <t xml:space="preserve">Q9</t>
  </si>
  <si>
    <t xml:space="preserve">Q10</t>
  </si>
  <si>
    <t xml:space="preserve">Q11</t>
  </si>
  <si>
    <t xml:space="preserve">Q12</t>
  </si>
  <si>
    <t xml:space="preserve">Криейторов на конец квартала</t>
  </si>
  <si>
    <t xml:space="preserve">Роликов вышло</t>
  </si>
  <si>
    <t xml:space="preserve">Просмотров, млн</t>
  </si>
  <si>
    <t xml:space="preserve">Заказы Shopify первые</t>
  </si>
  <si>
    <t xml:space="preserve">Подписчиков на конец</t>
  </si>
  <si>
    <t xml:space="preserve">Закупка у Vox</t>
  </si>
  <si>
    <t xml:space="preserve">Деньги на конец квартала</t>
  </si>
  <si>
    <t xml:space="preserve">Юнит-экономика: прибыль с банки и с заказа по каналам</t>
  </si>
  <si>
    <t xml:space="preserve">Продукт</t>
  </si>
  <si>
    <t xml:space="preserve">Розница</t>
  </si>
  <si>
    <t xml:space="preserve">Банка @1 000</t>
  </si>
  <si>
    <t xml:space="preserve">Банка @5 000</t>
  </si>
  <si>
    <t xml:space="preserve">Прибыль TikTok</t>
  </si>
  <si>
    <t xml:space="preserve">Маржа TikTok</t>
  </si>
  <si>
    <t xml:space="preserve">Прибыль Shopify</t>
  </si>
  <si>
    <t xml:space="preserve">Маржа Shopify</t>
  </si>
  <si>
    <t xml:space="preserve">Прибыль Amazon</t>
  </si>
  <si>
    <t xml:space="preserve">Маржа Amazon</t>
  </si>
  <si>
    <t xml:space="preserve">Colostrum</t>
  </si>
  <si>
    <t xml:space="preserve">Women's Probiotic</t>
  </si>
  <si>
    <t xml:space="preserve">Magnesium Glycinate</t>
  </si>
  <si>
    <t xml:space="preserve">Creatine</t>
  </si>
  <si>
    <t xml:space="preserve">Первая покупка</t>
  </si>
  <si>
    <t xml:space="preserve">Предложение</t>
  </si>
  <si>
    <t xml:space="preserve">Цена</t>
  </si>
  <si>
    <t xml:space="preserve">Товар @1 000</t>
  </si>
  <si>
    <t xml:space="preserve">Доля заказов</t>
  </si>
  <si>
    <t xml:space="preserve">Средний первый заказ</t>
  </si>
  <si>
    <t xml:space="preserve">Подписка Shopify</t>
  </si>
  <si>
    <t xml:space="preserve">Подписка</t>
  </si>
  <si>
    <t xml:space="preserve">Цена в месяц</t>
  </si>
  <si>
    <t xml:space="preserve">Прибыль в месяц</t>
  </si>
  <si>
    <t xml:space="preserve">Прибыль в год</t>
  </si>
  <si>
    <t xml:space="preserve">Доля</t>
  </si>
  <si>
    <t xml:space="preserve">Жизнь подписчика, мес.</t>
  </si>
  <si>
    <t xml:space="preserve">Прибыль за жизнь (LTV)</t>
  </si>
  <si>
    <t xml:space="preserve">Средний подписчик</t>
  </si>
  <si>
    <t xml:space="preserve">Ценность одного криейтора в месяц</t>
  </si>
  <si>
    <t xml:space="preserve">Заказов с роликов и органики</t>
  </si>
  <si>
    <t xml:space="preserve">Продаж на сумму</t>
  </si>
  <si>
    <t xml:space="preserve">Заработок криейтора</t>
  </si>
  <si>
    <t xml:space="preserve">Заработок криейтора за ролик</t>
  </si>
  <si>
    <t xml:space="preserve">Прибыль бренда с первых покупок</t>
  </si>
  <si>
    <t xml:space="preserve">Новых подписчиков</t>
  </si>
  <si>
    <t xml:space="preserve">Прибыль с этих подписчиков за их жизнь</t>
  </si>
  <si>
    <t xml:space="preserve">Три сценария</t>
  </si>
  <si>
    <t xml:space="preserve">Снимок расчёта от 03.10.2026 по базовым вводным. После изменения допущений пересчитать: python3 analysis.py &amp;&amp; python3 stress.py &amp;&amp; python3 build_analysis_sheets.py</t>
  </si>
  <si>
    <t xml:space="preserve">Консервативный</t>
  </si>
  <si>
    <t xml:space="preserve">Базовый</t>
  </si>
  <si>
    <t xml:space="preserve">Оптимистичный</t>
  </si>
  <si>
    <t xml:space="preserve">Выручка год 1</t>
  </si>
  <si>
    <t xml:space="preserve">EBITDA год 1</t>
  </si>
  <si>
    <t xml:space="preserve">Выручка год 2</t>
  </si>
  <si>
    <t xml:space="preserve">EBITDA год 2</t>
  </si>
  <si>
    <t xml:space="preserve">Выручка год 3</t>
  </si>
  <si>
    <t xml:space="preserve">EBITDA год 3</t>
  </si>
  <si>
    <t xml:space="preserve">Чистая прибыль 3 года (сумма)</t>
  </si>
  <si>
    <t xml:space="preserve">Подписчиков через 12 мес.</t>
  </si>
  <si>
    <t xml:space="preserve">Подписчиков через 24 мес.</t>
  </si>
  <si>
    <t xml:space="preserve">Криейторов через 24 мес.</t>
  </si>
  <si>
    <t xml:space="preserve">Деньги на счёте через 12 мес.</t>
  </si>
  <si>
    <t xml:space="preserve">Месяц темпа $1 млн EBITDA в год</t>
  </si>
  <si>
    <t xml:space="preserve">нет за 36 мес.</t>
  </si>
  <si>
    <t xml:space="preserve">Окупаемость $25 000, месяц</t>
  </si>
  <si>
    <t xml:space="preserve">Что отличает сценарии</t>
  </si>
  <si>
    <t xml:space="preserve">Параметр</t>
  </si>
  <si>
    <t xml:space="preserve">Просмотров на ролик</t>
  </si>
  <si>
    <t xml:space="preserve">3 500</t>
  </si>
  <si>
    <t xml:space="preserve">5 000</t>
  </si>
  <si>
    <t xml:space="preserve">7 000</t>
  </si>
  <si>
    <t xml:space="preserve">Конверсия</t>
  </si>
  <si>
    <t xml:space="preserve">0,03%</t>
  </si>
  <si>
    <t xml:space="preserve">0,05%</t>
  </si>
  <si>
    <t xml:space="preserve">0,07%</t>
  </si>
  <si>
    <t xml:space="preserve">Доля вышедших роликов</t>
  </si>
  <si>
    <t xml:space="preserve">60%</t>
  </si>
  <si>
    <t xml:space="preserve">100%</t>
  </si>
  <si>
    <t xml:space="preserve">Переход в подписку</t>
  </si>
  <si>
    <t xml:space="preserve">12%</t>
  </si>
  <si>
    <t xml:space="preserve">15%</t>
  </si>
  <si>
    <t xml:space="preserve">20%</t>
  </si>
  <si>
    <t xml:space="preserve">Отток подписки</t>
  </si>
  <si>
    <t xml:space="preserve">10%</t>
  </si>
  <si>
    <t xml:space="preserve">8%</t>
  </si>
  <si>
    <t xml:space="preserve">Новых криейторов в мес.</t>
  </si>
  <si>
    <t xml:space="preserve">5-6</t>
  </si>
  <si>
    <t xml:space="preserve">10-12</t>
  </si>
  <si>
    <t xml:space="preserve">15-18</t>
  </si>
  <si>
    <t xml:space="preserve">Amazon, продаж в день на продукт</t>
  </si>
  <si>
    <t xml:space="preserve">13</t>
  </si>
  <si>
    <t xml:space="preserve">30</t>
  </si>
  <si>
    <t xml:space="preserve">45</t>
  </si>
  <si>
    <t xml:space="preserve">Spark Ads, выручка на $1 рекламы</t>
  </si>
  <si>
    <t xml:space="preserve">2</t>
  </si>
  <si>
    <t xml:space="preserve">3</t>
  </si>
  <si>
    <t xml:space="preserve">4</t>
  </si>
  <si>
    <t xml:space="preserve">Цена Vox</t>
  </si>
  <si>
    <t xml:space="preserve">+5%</t>
  </si>
  <si>
    <t xml:space="preserve">прайс</t>
  </si>
  <si>
    <t xml:space="preserve">Деньги на старте: варианты финансирования (базовый сценарий)</t>
  </si>
  <si>
    <t xml:space="preserve">Вариант</t>
  </si>
  <si>
    <t xml:space="preserve">Минимум денег</t>
  </si>
  <si>
    <t xml:space="preserve">Месяц минимума</t>
  </si>
  <si>
    <t xml:space="preserve">Транш 2 = $5 000, запас 1,3 мес.</t>
  </si>
  <si>
    <t xml:space="preserve">Транш 2 = $5 000, запас 1,0 мес.</t>
  </si>
  <si>
    <t xml:space="preserve">Транш 2 = $14 000, запас 1,3 мес.</t>
  </si>
  <si>
    <t xml:space="preserve">Транш 2 = $21 000, запас 1,3 мес.</t>
  </si>
  <si>
    <t xml:space="preserve">Чувствительность и стресс-тесты</t>
  </si>
  <si>
    <t xml:space="preserve">Торнадо: каждый параметр отдельно, остальное по базе</t>
  </si>
  <si>
    <t xml:space="preserve">Плохое значение</t>
  </si>
  <si>
    <t xml:space="preserve">Хорошее значение</t>
  </si>
  <si>
    <t xml:space="preserve">EBITDA год 1, плохо</t>
  </si>
  <si>
    <t xml:space="preserve">EBITDA год 1, хорошо</t>
  </si>
  <si>
    <t xml:space="preserve">EBITDA год 2, плохо</t>
  </si>
  <si>
    <t xml:space="preserve">EBITDA год 2, хорошо</t>
  </si>
  <si>
    <t xml:space="preserve">Размах год 2</t>
  </si>
  <si>
    <t xml:space="preserve">Конверсия просмотра в заказ</t>
  </si>
  <si>
    <t xml:space="preserve">Новых криейторов в мес. 3-12</t>
  </si>
  <si>
    <t xml:space="preserve">Новых криейторов в мес. с 13-го</t>
  </si>
  <si>
    <t xml:space="preserve">Органика</t>
  </si>
  <si>
    <t xml:space="preserve">Spark Ads: ROAS</t>
  </si>
  <si>
    <t xml:space="preserve">Amazon: продаж в день на продукт</t>
  </si>
  <si>
    <t xml:space="preserve">Комиссия криейтора</t>
  </si>
  <si>
    <t xml:space="preserve">Amazon: доля рекламы</t>
  </si>
  <si>
    <t xml:space="preserve">Стресс-тесты</t>
  </si>
  <si>
    <t xml:space="preserve">Событие</t>
  </si>
  <si>
    <t xml:space="preserve">Темп $1 млн, месяц</t>
  </si>
  <si>
    <t xml:space="preserve">Базовый сценарий</t>
  </si>
  <si>
    <t xml:space="preserve">TikTok Shop заблокирован на 2 месяца (март-апрель 2027)</t>
  </si>
  <si>
    <t xml:space="preserve">Vox не отгрузил товар: месяц без продаж (февраль 2027)</t>
  </si>
  <si>
    <t xml:space="preserve">Amazon не дал допуск к категории</t>
  </si>
  <si>
    <t xml:space="preserve">Продукт не цепляет: конверсия 0,02%</t>
  </si>
  <si>
    <t xml:space="preserve">Криейторов не прибавляется: 50 весь срок</t>
  </si>
  <si>
    <t xml:space="preserve">Цены Vox +15%</t>
  </si>
  <si>
    <t xml:space="preserve">Spark Ads не окупаются: ROAS 1,5</t>
  </si>
  <si>
    <t xml:space="preserve">TikTok оставил комиссию 6%</t>
  </si>
  <si>
    <t xml:space="preserve">Подписка не работает: переход 5%, отток 15%</t>
  </si>
  <si>
    <t xml:space="preserve">Всё плохо сразу: конверсия 0,03%, 60% роликов, без Amazon, отток 12%</t>
  </si>
  <si>
    <t xml:space="preserve">Точки безубыточности по конверсии (без Amazon, остальное по базе)</t>
  </si>
  <si>
    <t xml:space="preserve">EBITDA года 1 больше нуля при конверсии от</t>
  </si>
  <si>
    <t xml:space="preserve">EBITDA года 2 от $1 млн при конверсии от</t>
  </si>
  <si>
    <t xml:space="preserve">EBITDA года 1 от $1 млн при конверсии от</t>
  </si>
  <si>
    <t xml:space="preserve">База: 0,05%. Запас прочности по конверсии большой: бизнес остаётся прибыльным, даже если конверсия в 10 раз ниже базы.</t>
  </si>
  <si>
    <t xml:space="preserve">Монте-Карло: 5000 случайных прогонов модели</t>
  </si>
  <si>
    <t xml:space="preserve">Снимок расчёта от 03.10.2026 по базовым вводным. После изменения допущений пересчитать: python3 analysis.py &amp;&amp; python3 stress.py &amp;&amp; python3 build_analysis_sheets.py Сид 42.</t>
  </si>
  <si>
    <t xml:space="preserve">Распределения вводных (треугольные: минимум, наиболее вероятное, максимум)</t>
  </si>
  <si>
    <t xml:space="preserve">Минимум</t>
  </si>
  <si>
    <t xml:space="preserve">Наиболее вероятное</t>
  </si>
  <si>
    <t xml:space="preserve">Максимум</t>
  </si>
  <si>
    <t xml:space="preserve">Прямые заказы Shopify</t>
  </si>
  <si>
    <t xml:space="preserve">Новых криейторов мес. 3-12</t>
  </si>
  <si>
    <t xml:space="preserve">Новых криейторов с 13-го</t>
  </si>
  <si>
    <t xml:space="preserve">Amazon, прирост в день в мес.</t>
  </si>
  <si>
    <t xml:space="preserve">Amazon, доля рекламы</t>
  </si>
  <si>
    <t xml:space="preserve">Spark Ads, ROAS</t>
  </si>
  <si>
    <t xml:space="preserve">Множитель цены Vox</t>
  </si>
  <si>
    <t xml:space="preserve">Результаты</t>
  </si>
  <si>
    <t xml:space="preserve">P10 (плохой из 10)</t>
  </si>
  <si>
    <t xml:space="preserve">P50 (медиана)</t>
  </si>
  <si>
    <t xml:space="preserve">P90 (хороший из 10)</t>
  </si>
  <si>
    <t xml:space="preserve">Среднее</t>
  </si>
  <si>
    <t xml:space="preserve">Вероятности</t>
  </si>
  <si>
    <t xml:space="preserve">EBITDA года 1 в минусе</t>
  </si>
  <si>
    <t xml:space="preserve">EBITDA года 1 от $1 млн</t>
  </si>
  <si>
    <t xml:space="preserve">EBITDA года 2 от $1 млн</t>
  </si>
  <si>
    <t xml:space="preserve">Темп $1 млн EBITDA в год наступает в первые 24 месяца</t>
  </si>
  <si>
    <t xml:space="preserve">Денег на старте не хватает без доплаты</t>
  </si>
  <si>
    <t xml:space="preserve">Не хватает больше $10 000</t>
  </si>
  <si>
    <t xml:space="preserve">Нужная доплата с вероятностью 90%</t>
  </si>
  <si>
    <t xml:space="preserve">Месяц темпа $1 млн: медиана</t>
  </si>
  <si>
    <t xml:space="preserve">Месяц темпа $1 млн: P10-P90</t>
  </si>
  <si>
    <t xml:space="preserve">6-11</t>
  </si>
  <si>
    <t xml:space="preserve">Распределение EBITDA года 2</t>
  </si>
  <si>
    <t xml:space="preserve">Диапазон</t>
  </si>
  <si>
    <t xml:space="preserve">Доля прогонов</t>
  </si>
  <si>
    <t xml:space="preserve">убыток</t>
  </si>
  <si>
    <t xml:space="preserve">$0-0,5 млн</t>
  </si>
  <si>
    <t xml:space="preserve">$0,5-1 млн</t>
  </si>
  <si>
    <t xml:space="preserve">$1-2 млн</t>
  </si>
  <si>
    <t xml:space="preserve">$2-3 млн</t>
  </si>
  <si>
    <t xml:space="preserve">$3-4 млн</t>
  </si>
  <si>
    <t xml:space="preserve">$4-5 млн</t>
  </si>
  <si>
    <t xml:space="preserve">больше $5 млн</t>
  </si>
  <si>
    <t xml:space="preserve">Реестр рисков</t>
  </si>
  <si>
    <t xml:space="preserve">Вероятность это оценка на 03.10.2026. Ущерб: потеря EBITDA года 1 из стресс-тестов и торнадо. Ожидаемый ущерб = вероятность × ущерб.</t>
  </si>
  <si>
    <t xml:space="preserve">Риск</t>
  </si>
  <si>
    <t xml:space="preserve">Вероятность</t>
  </si>
  <si>
    <t xml:space="preserve">Ущерб, EBITDA год 1</t>
  </si>
  <si>
    <t xml:space="preserve">Ожидаемый ущерб</t>
  </si>
  <si>
    <t xml:space="preserve">Ранний сигнал (KPI)</t>
  </si>
  <si>
    <t xml:space="preserve">Что делаем</t>
  </si>
  <si>
    <t xml:space="preserve">Кто</t>
  </si>
  <si>
    <t xml:space="preserve">Криейторы не выпускают 8 роликов</t>
  </si>
  <si>
    <t xml:space="preserve">меньше 2 роликов в неделю на криейтора</t>
  </si>
  <si>
    <t xml:space="preserve">еженедельный учёт, замена неактивных, бонус лучшим</t>
  </si>
  <si>
    <t xml:space="preserve">Полина</t>
  </si>
  <si>
    <t xml:space="preserve">Конверсия ниже базы (0,03%)</t>
  </si>
  <si>
    <t xml:space="preserve">меньше 0,4 заказа на 1 000 просмотров в первые 2 недели</t>
  </si>
  <si>
    <t xml:space="preserve">тест хуков, Flip the jar, стартовая скидка</t>
  </si>
  <si>
    <t xml:space="preserve">владелец, Полина</t>
  </si>
  <si>
    <t xml:space="preserve">Подписка слабее плана</t>
  </si>
  <si>
    <t xml:space="preserve">переход в подписку меньше 10% за первые 60 дней</t>
  </si>
  <si>
    <t xml:space="preserve">письма день 0, 7, 25, скидка на первую подписку, вкладыш</t>
  </si>
  <si>
    <t xml:space="preserve">Claude, владелец</t>
  </si>
  <si>
    <t xml:space="preserve">Amazon не даёт допуск к добавкам</t>
  </si>
  <si>
    <t xml:space="preserve">нет допуска к 15.02.2027</t>
  </si>
  <si>
    <t xml:space="preserve">COA из лаборатории ISO 17025 в январе, Brand Registry по заявке USPTO</t>
  </si>
  <si>
    <t xml:space="preserve">владелец</t>
  </si>
  <si>
    <t xml:space="preserve">Криейторов не прибавляется</t>
  </si>
  <si>
    <t xml:space="preserve">меньше 8 новых в месяц</t>
  </si>
  <si>
    <t xml:space="preserve">аутрич 100 в неделю, менеджер криейторов с 5-го месяца</t>
  </si>
  <si>
    <t xml:space="preserve">TikTok Shop блокирует магазин на 2 месяца</t>
  </si>
  <si>
    <t xml:space="preserve">страйки за заявления, жалобы</t>
  </si>
  <si>
    <t xml:space="preserve">этикетка завода дословно, без заявлений о болезни, Shopify и Amazon как опора</t>
  </si>
  <si>
    <t xml:space="preserve">Claude</t>
  </si>
  <si>
    <t xml:space="preserve">Цены Vox растут на 15%</t>
  </si>
  <si>
    <t xml:space="preserve">новый прайс Vox</t>
  </si>
  <si>
    <t xml:space="preserve">годовой объём под цену, SMP вторым источником</t>
  </si>
  <si>
    <t xml:space="preserve">Vox срывает отгрузку на месяц</t>
  </si>
  <si>
    <t xml:space="preserve">срок перезаказа больше 15 рабочих дней</t>
  </si>
  <si>
    <t xml:space="preserve">запас 1,3 месяца, подтверждение мощности в мае 2027, SMP в резерве</t>
  </si>
  <si>
    <t xml:space="preserve">Денег на товар не хватает в декабре</t>
  </si>
  <si>
    <t xml:space="preserve">деньги на счёте меньше $3 000</t>
  </si>
  <si>
    <t xml:space="preserve">второй транш $21 000 или перезаказ дважды в месяц</t>
  </si>
  <si>
    <t xml:space="preserve">Задержка выплат TikTok новому продавцу</t>
  </si>
  <si>
    <t xml:space="preserve">выплата позже 14 дней после доставки</t>
  </si>
  <si>
    <t xml:space="preserve">резерв в кассе, Shopify как быстрый канал денег</t>
  </si>
  <si>
    <t xml:space="preserve">Претензия по качеству или отзыв партии</t>
  </si>
  <si>
    <t xml:space="preserve">жалобы на вкус, комки, реакции</t>
  </si>
  <si>
    <t xml:space="preserve">COA каждой партии, страховка ответственности, этикетка завода</t>
  </si>
  <si>
    <t xml:space="preserve">Нагрузка на владельца и Полину</t>
  </si>
  <si>
    <t xml:space="preserve">ответ клиенту дольше 24 часов</t>
  </si>
  <si>
    <t xml:space="preserve">найм с 5-6-го месяца по плану команды</t>
  </si>
  <si>
    <t xml:space="preserve">Итого ожидаемый ущерб</t>
  </si>
  <si>
    <t xml:space="preserve">The Aldera · 518 GROUP LLC · Финансовая модель · допущения</t>
  </si>
  <si>
    <t xml:space="preserve">Синий шрифт: вводные, их можно менять. Чёрный: формулы. Жёлтая заливка: ключевые рычаги. Модель пересчитывается сама.</t>
  </si>
  <si>
    <t xml:space="preserve">Сценарий: 1 консервативный, 2 базовый, 3 оптимистичный</t>
  </si>
  <si>
    <t xml:space="preserve">Параметр сценария</t>
  </si>
  <si>
    <t xml:space="preserve">Консерв.</t>
  </si>
  <si>
    <t xml:space="preserve">Оптим.</t>
  </si>
  <si>
    <t xml:space="preserve">Активное</t>
  </si>
  <si>
    <t xml:space="preserve">Пояснение</t>
  </si>
  <si>
    <t xml:space="preserve">Средние просмотры ролика микро-криейтора</t>
  </si>
  <si>
    <t xml:space="preserve">Доля просмотров, которая становится заказом</t>
  </si>
  <si>
    <t xml:space="preserve">Доля роликов, которые реально выходят</t>
  </si>
  <si>
    <t xml:space="preserve">8 роликов по договору; база по условию владельца</t>
  </si>
  <si>
    <t xml:space="preserve">Органика и поиск сверху</t>
  </si>
  <si>
    <t xml:space="preserve">Заказы без ролика: поиск, профиль, повторный показ</t>
  </si>
  <si>
    <t xml:space="preserve">Прямые заказы на Shopify, доля от TikTok</t>
  </si>
  <si>
    <t xml:space="preserve">Покупатели из TikTok, которые идут на сайт</t>
  </si>
  <si>
    <t xml:space="preserve">Переход первых покупателей в подписку</t>
  </si>
  <si>
    <t xml:space="preserve">Главный рычаг модели</t>
  </si>
  <si>
    <t xml:space="preserve">Отток подписки в месяц</t>
  </si>
  <si>
    <t xml:space="preserve">Обычная цифра для подписки на добавки около 10%</t>
  </si>
  <si>
    <t xml:space="preserve">Новых криейторов в месяц, мес. 3-12</t>
  </si>
  <si>
    <t xml:space="preserve">Старт 50 криейторов</t>
  </si>
  <si>
    <t xml:space="preserve">Новых криейторов в месяц, с 13-го</t>
  </si>
  <si>
    <t xml:space="preserve">Amazon: продаж в день на продукт после разгона</t>
  </si>
  <si>
    <t xml:space="preserve">Достигается через N месяцев разгона</t>
  </si>
  <si>
    <t xml:space="preserve">Amazon: прирост в день на продукт в месяц после разгона</t>
  </si>
  <si>
    <t xml:space="preserve">Amazon: реклама PPC, доля цены</t>
  </si>
  <si>
    <t xml:space="preserve">Половина продаж через рекламу при ACoS 24-40%</t>
  </si>
  <si>
    <t xml:space="preserve">Spark Ads: выручка на $1 рекламы (ROAS)</t>
  </si>
  <si>
    <t xml:space="preserve">Реклама идёт только на ролики с доказанной конверсией</t>
  </si>
  <si>
    <t xml:space="preserve">Множитель себестоимости Vox</t>
  </si>
  <si>
    <t xml:space="preserve">Рост цен поставщика</t>
  </si>
  <si>
    <t xml:space="preserve">Постоянные допущения</t>
  </si>
  <si>
    <t xml:space="preserve">Криейторов на старте</t>
  </si>
  <si>
    <t xml:space="preserve">Решение владельца</t>
  </si>
  <si>
    <t xml:space="preserve">Роликов на криейтора в месяц по договору</t>
  </si>
  <si>
    <t xml:space="preserve">Решение владельца: 8 роликов за 30%</t>
  </si>
  <si>
    <t xml:space="preserve">Потолок числа криейторов</t>
  </si>
  <si>
    <t xml:space="preserve">Предел для одного менеджера-отдела</t>
  </si>
  <si>
    <t xml:space="preserve">Доля первого месяца (продажи с 20.11)</t>
  </si>
  <si>
    <t xml:space="preserve">11 дней из 30</t>
  </si>
  <si>
    <t xml:space="preserve">TikTok Shop: комиссия площадки</t>
  </si>
  <si>
    <t xml:space="preserve">С 04.08.2026 TikTok поднял ставку с 6% до 8% для большинства непищевых категорий. Ставку для добавок проверить в Seller Center</t>
  </si>
  <si>
    <t xml:space="preserve">Spark Ads на выстрелившие ролики, доля органической выручки TikTok</t>
  </si>
  <si>
    <t xml:space="preserve">Решение владельца 03.10: платная реклама только на ролики, которые уже выстрелили</t>
  </si>
  <si>
    <t xml:space="preserve">Spark Ads: с месяца модели</t>
  </si>
  <si>
    <t xml:space="preserve">Февраль 2027: после декабрьского провала денег</t>
  </si>
  <si>
    <t xml:space="preserve">TikTok: возвраты, доля выручки</t>
  </si>
  <si>
    <t xml:space="preserve">Shopify Payments: процент</t>
  </si>
  <si>
    <t xml:space="preserve">Тариф Shopify Basic</t>
  </si>
  <si>
    <t xml:space="preserve">Shopify Payments: за транзакцию</t>
  </si>
  <si>
    <t xml:space="preserve">Shopify: возвраты, доля выручки</t>
  </si>
  <si>
    <t xml:space="preserve">Amazon: комиссия за продажу</t>
  </si>
  <si>
    <t xml:space="preserve">Категория Health &amp; Household</t>
  </si>
  <si>
    <t xml:space="preserve">Amazon: месяц старта (1 = ноябрь 2026)</t>
  </si>
  <si>
    <t xml:space="preserve">Март 2027, после Brand Registry и допуска</t>
  </si>
  <si>
    <t xml:space="preserve">Amazon: продаж в день на продукт в первый месяц</t>
  </si>
  <si>
    <t xml:space="preserve">Amazon: месяцев разгона</t>
  </si>
  <si>
    <t xml:space="preserve">Число продуктов</t>
  </si>
  <si>
    <t xml:space="preserve">Склад-отправщик, за заказ TikTok и Shopify</t>
  </si>
  <si>
    <t xml:space="preserve">Пик-пак 3PL во Флориде, оценка</t>
  </si>
  <si>
    <t xml:space="preserve">Доля выплат TikTok и Amazon, приходящая в следующем месяце</t>
  </si>
  <si>
    <t xml:space="preserve">Выплаты после доставки и раз в две недели</t>
  </si>
  <si>
    <t xml:space="preserve">Запас товара после перезаказа, месяцев продаж</t>
  </si>
  <si>
    <t xml:space="preserve">Политика перезаказа</t>
  </si>
  <si>
    <t xml:space="preserve">Минимальный заказ Vox, банок</t>
  </si>
  <si>
    <t xml:space="preserve">Прайс Vox 2026 Q3</t>
  </si>
  <si>
    <t xml:space="preserve">Сервисы и ПО в месяц, год 1</t>
  </si>
  <si>
    <t xml:space="preserve">Shopify, подписка, почта, дизайн-сервисы</t>
  </si>
  <si>
    <t xml:space="preserve">Сервисы и ПО в месяц, год 2</t>
  </si>
  <si>
    <t xml:space="preserve">Сервисы и ПО в месяц, год 3</t>
  </si>
  <si>
    <t xml:space="preserve">Страховка ответственности в месяц, первые 11 мес.</t>
  </si>
  <si>
    <t xml:space="preserve">Product liability</t>
  </si>
  <si>
    <t xml:space="preserve">Страховка ответственности в месяц, с 12-го</t>
  </si>
  <si>
    <t xml:space="preserve">Amazon требует при продажах от $10 тыс. в месяц</t>
  </si>
  <si>
    <t xml:space="preserve">Бухгалтерия и юристы в месяц</t>
  </si>
  <si>
    <t xml:space="preserve">Прочая реклама (Meta, Google), доля выручки</t>
  </si>
  <si>
    <t xml:space="preserve">Не планируется; 0 = не включено</t>
  </si>
  <si>
    <t xml:space="preserve">Налог на прибыль, оценка</t>
  </si>
  <si>
    <t xml:space="preserve">Оценка: федеральный и штатный налог на прибыль LLC через владельца. Уточнить у бухгалтера</t>
  </si>
  <si>
    <t xml:space="preserve">Вложение владельца, транш 1 (октябрь 2026)</t>
  </si>
  <si>
    <t xml:space="preserve">Решение владельца 03.10</t>
  </si>
  <si>
    <t xml:space="preserve">Вложение владельца, транш 2 (конец ноября 2026)</t>
  </si>
  <si>
    <t xml:space="preserve">Решение владельца 03.10: партиями</t>
  </si>
  <si>
    <t xml:space="preserve">Запуск: дизайн 4 этикеток, GS1, фрахт, образцы</t>
  </si>
  <si>
    <t xml:space="preserve">$499 + $300 + $500 + $950</t>
  </si>
  <si>
    <t xml:space="preserve">Заявка USPTO на знак THE ALDERA, класс 5</t>
  </si>
  <si>
    <t xml:space="preserve">Пошлина USPTO за 1 класс</t>
  </si>
  <si>
    <t xml:space="preserve">Продукты (Vox Nutrition, сток, минимум 150)</t>
  </si>
  <si>
    <t xml:space="preserve">Артикул Vox</t>
  </si>
  <si>
    <t xml:space="preserve">Доставка 1 банки</t>
  </si>
  <si>
    <t xml:space="preserve">FBA за банку</t>
  </si>
  <si>
    <t xml:space="preserve">Доля в Amazon</t>
  </si>
  <si>
    <t xml:space="preserve">Первая закупка, банок</t>
  </si>
  <si>
    <t xml:space="preserve">Цена @150</t>
  </si>
  <si>
    <t xml:space="preserve">Цена @300</t>
  </si>
  <si>
    <t xml:space="preserve">Цена @500</t>
  </si>
  <si>
    <t xml:space="preserve">Цена @1000</t>
  </si>
  <si>
    <t xml:space="preserve">Цена @2500</t>
  </si>
  <si>
    <t xml:space="preserve">Цена @5000</t>
  </si>
  <si>
    <t xml:space="preserve">Цена @7500</t>
  </si>
  <si>
    <t xml:space="preserve">Цена @10000</t>
  </si>
  <si>
    <t xml:space="preserve">Порог ступени, банок</t>
  </si>
  <si>
    <t xml:space="preserve">14721</t>
  </si>
  <si>
    <t xml:space="preserve">14648</t>
  </si>
  <si>
    <t xml:space="preserve">14683</t>
  </si>
  <si>
    <t xml:space="preserve">14589</t>
  </si>
  <si>
    <t xml:space="preserve">Источник цен: прайс Vox Nutrition 2026 Q3 Pricing Sheet. Розница: решение по позиционированию 03.10. Креатин в первой закупке 200, чтобы транш $20 000 покрыл и заявку на знак.</t>
  </si>
  <si>
    <t xml:space="preserve">Первая покупка: предложения и доли заказов</t>
  </si>
  <si>
    <t xml:space="preserve">Доставка заказа</t>
  </si>
  <si>
    <t xml:space="preserve">Colostrum, банок</t>
  </si>
  <si>
    <t xml:space="preserve">Probiotic, банок</t>
  </si>
  <si>
    <t xml:space="preserve">Magnesium, банок</t>
  </si>
  <si>
    <t xml:space="preserve">Creatine, банок</t>
  </si>
  <si>
    <t xml:space="preserve">Foundation: Colostrum + Magnesium</t>
  </si>
  <si>
    <t xml:space="preserve">Gut Duo: Colostrum + Probiotic</t>
  </si>
  <si>
    <t xml:space="preserve">The Daily Four</t>
  </si>
  <si>
    <t xml:space="preserve">← банок каждого продукта на один средний заказ</t>
  </si>
  <si>
    <t xml:space="preserve">Подписка Shopify, ежемесячно</t>
  </si>
  <si>
    <t xml:space="preserve">Доставка</t>
  </si>
  <si>
    <t xml:space="preserve">Доля подписчиков</t>
  </si>
  <si>
    <t xml:space="preserve">Foundation</t>
  </si>
  <si>
    <t xml:space="preserve">Gut Duo</t>
  </si>
  <si>
    <t xml:space="preserve">The Daily Four, креатин раз в 2 мес.</t>
  </si>
  <si>
    <t xml:space="preserve">Amazon: средняя цена заказа</t>
  </si>
  <si>
    <t xml:space="preserve">Amazon: средний FBA за заказ</t>
  </si>
  <si>
    <t xml:space="preserve">Сезонность по календарным месяцам</t>
  </si>
  <si>
    <t xml:space="preserve">январь</t>
  </si>
  <si>
    <t xml:space="preserve">Black Friday и праздники +15%, январь (новогодние цели) +10%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</si>
  <si>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</si>
  <si>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</si>
  <si>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</si>
  <si>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</si>
  <si>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</si>
  <si>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</si>
  <si>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</si>
  <si>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</si>
  <si>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</si>
  <si>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</si>
  <si>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</si>
  <si>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Команда (найм по месяцам модели)</t>
  </si>
  <si>
    <t xml:space="preserve">Роль</t>
  </si>
  <si>
    <t xml:space="preserve">Стоимость в месяц</t>
  </si>
  <si>
    <t xml:space="preserve">С месяца модели</t>
  </si>
  <si>
    <t xml:space="preserve">Менеджер криейторов 1</t>
  </si>
  <si>
    <t xml:space="preserve">Месяц 1 = ноябрь 2026. Зарплата владельца не заложена.</t>
  </si>
  <si>
    <t xml:space="preserve">Поддержка клиентов</t>
  </si>
  <si>
    <t xml:space="preserve">Менеджер Amazon и операций</t>
  </si>
  <si>
    <t xml:space="preserve">Менеджер криейторов 2</t>
  </si>
  <si>
    <t xml:space="preserve">Поддержка клиентов 2</t>
  </si>
  <si>
    <t xml:space="preserve">Финансы, на аутсорсе</t>
  </si>
  <si>
    <t xml:space="preserve">Помесячная модель, 36 месяцев (ноябрь 2026 - октябрь 2029)</t>
  </si>
  <si>
    <t xml:space="preserve">Месяц модели</t>
  </si>
  <si>
    <t xml:space="preserve">Месяц</t>
  </si>
  <si>
    <t xml:space="preserve">Календарный месяц</t>
  </si>
  <si>
    <t xml:space="preserve">Год модели</t>
  </si>
  <si>
    <t xml:space="preserve">Доля месяца</t>
  </si>
  <si>
    <t xml:space="preserve">Сезонность</t>
  </si>
  <si>
    <t xml:space="preserve">Воронка</t>
  </si>
  <si>
    <t xml:space="preserve">Активных криейторов</t>
  </si>
  <si>
    <t xml:space="preserve">Просмотров</t>
  </si>
  <si>
    <t xml:space="preserve">Заказы TikTok (первые покупки)</t>
  </si>
  <si>
    <t xml:space="preserve">Заказы Shopify прямые (первые)</t>
  </si>
  <si>
    <t xml:space="preserve">Новые подписчики</t>
  </si>
  <si>
    <t xml:space="preserve">Подписчиков на конец месяца</t>
  </si>
  <si>
    <t xml:space="preserve">Заказы подписки (списание)</t>
  </si>
  <si>
    <t xml:space="preserve">Банок: Colostrum</t>
  </si>
  <si>
    <t xml:space="preserve">Банок: Women's Probiotic</t>
  </si>
  <si>
    <t xml:space="preserve">Банок: Magnesium Glycinate</t>
  </si>
  <si>
    <t xml:space="preserve">Банок: Creatine</t>
  </si>
  <si>
    <t xml:space="preserve">Банок всего</t>
  </si>
  <si>
    <t xml:space="preserve">Себестоимость банки (ступень по объёму месяца)</t>
  </si>
  <si>
    <t xml:space="preserve">Банка: Colostrum</t>
  </si>
  <si>
    <t xml:space="preserve">Банка: Women's Probiotic</t>
  </si>
  <si>
    <t xml:space="preserve">Банка: Magnesium Glycinate</t>
  </si>
  <si>
    <t xml:space="preserve">Банка: Creatine</t>
  </si>
  <si>
    <t xml:space="preserve">TikTok Shop</t>
  </si>
  <si>
    <t xml:space="preserve">Shopify: первые покупки</t>
  </si>
  <si>
    <t xml:space="preserve">Shopify: подписка</t>
  </si>
  <si>
    <t xml:space="preserve">Amazon</t>
  </si>
  <si>
    <t xml:space="preserve">Переменные расходы</t>
  </si>
  <si>
    <t xml:space="preserve">Переменные расходы всего</t>
  </si>
  <si>
    <t xml:space="preserve">Реклама: Spark Ads на выстрелившие ролики и прочая</t>
  </si>
  <si>
    <t xml:space="preserve">Постоянные расходы всего</t>
  </si>
  <si>
    <t xml:space="preserve">Запуск и знак (месяц 0)</t>
  </si>
  <si>
    <t xml:space="preserve">Денежный поток</t>
  </si>
  <si>
    <t xml:space="preserve">Поступления TikTok</t>
  </si>
  <si>
    <t xml:space="preserve">Поступления Shopify</t>
  </si>
  <si>
    <t xml:space="preserve">Поступления Amazon</t>
  </si>
  <si>
    <t xml:space="preserve">Поступления всего</t>
  </si>
  <si>
    <t xml:space="preserve">Доставка и склад</t>
  </si>
  <si>
    <t xml:space="preserve">Налог</t>
  </si>
  <si>
    <t xml:space="preserve">Запуск и знак</t>
  </si>
  <si>
    <t xml:space="preserve">Вложения владельца</t>
  </si>
  <si>
    <t xml:space="preserve">Чистый денежный поток</t>
  </si>
  <si>
    <t xml:space="preserve">Деньги на счёте на конец месяца</t>
  </si>
  <si>
    <t xml:space="preserve">Склад и перезаказы (заказ в месяце приходит к следующему)</t>
  </si>
  <si>
    <t xml:space="preserve">Colostrum: остаток на начало</t>
  </si>
  <si>
    <t xml:space="preserve">Colostrum: перезаказ, банок</t>
  </si>
  <si>
    <t xml:space="preserve">Colostrum: перезаказ, $</t>
  </si>
  <si>
    <t xml:space="preserve">Colostrum: остаток на конец</t>
  </si>
  <si>
    <t xml:space="preserve">Women's Probiotic: остаток на начало</t>
  </si>
  <si>
    <t xml:space="preserve">Women's Probiotic: перезаказ, банок</t>
  </si>
  <si>
    <t xml:space="preserve">Women's Probiotic: перезаказ, $</t>
  </si>
  <si>
    <t xml:space="preserve">Women's Probiotic: остаток на конец</t>
  </si>
  <si>
    <t xml:space="preserve">Magnesium Glycinate: остаток на начало</t>
  </si>
  <si>
    <t xml:space="preserve">Magnesium Glycinate: перезаказ, банок</t>
  </si>
  <si>
    <t xml:space="preserve">Magnesium Glycinate: перезаказ, $</t>
  </si>
  <si>
    <t xml:space="preserve">Magnesium Glycinate: остаток на конец</t>
  </si>
  <si>
    <t xml:space="preserve">Creatine: остаток на начало</t>
  </si>
  <si>
    <t xml:space="preserve">Creatine: перезаказ, банок</t>
  </si>
  <si>
    <t xml:space="preserve">Creatine: перезаказ, $</t>
  </si>
  <si>
    <t xml:space="preserve">Creatine: остаток на конец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</si>
</sst>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\$#,##0;&quot;($&quot;#,##0\);\-"/>
    <numFmt numFmtId="167" formatCode="0.0%;\(0.0%\);\-"/>
    <numFmt numFmtId="168" formatCode="#,##0;\(#,##0\);\-"/>
    <numFmt numFmtId="169" formatCode="#,##0;\(#,##0\);\-"/>
    <numFmt numFmtId="170" formatCode="\$#,##0;&quot;($&quot;#,##0\);\-"/>
    <numFmt numFmtId="171" formatCode="0.0%;\(0.0%\);\-"/>
    <numFmt numFmtId="172" formatCode="0.0"/>
    <numFmt numFmtId="173" formatCode="\$#,##0.00;&quot;($&quot;#,##0.00\);\-"/>
    <numFmt numFmtId="174" formatCode="#,##0.0;\(#,##0.0\);\-"/>
    <numFmt numFmtId="175" formatCode="0.00%"/>
    <numFmt numFmtId="176" formatCode="0.00\x"/>
    <numFmt numFmtId="177" formatCode="0.000%"/>
    <numFmt numFmtId="178" formatCode="#,##0.0"/>
    <numFmt numFmtId="179" formatCode="0.0\x"/>
    <numFmt numFmtId="180" formatCode="0.00\x"/>
    <numFmt numFmtId="181" formatCode="0.000"/>
    <numFmt numFmtId="182" formatCode="0.00"/>
    <numFmt numFmtId="183" formatCode="0"/>
    <numFmt numFmtId="184" formatCode="mmm\ 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A676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C6A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A6762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2EEE8"/>
        <bgColor rgb="FFF1F5F2"/>
      </patternFill>
    </fill>
    <fill>
      <patternFill patternType="solid">
        <fgColor rgb="FFF1F5F2"/>
        <bgColor rgb="FFE2EEE8"/>
      </patternFill>
    </fill>
    <fill>
      <patternFill patternType="solid">
        <fgColor rgb="FFF6E7DE"/>
        <bgColor rgb="FFE2EEE8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5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C6A55"/>
      <rgbColor rgb="FFB3B3B3"/>
      <rgbColor rgb="FF4F81BD"/>
      <rgbColor rgb="FF9999FF"/>
      <rgbColor rgb="FFC0504D"/>
      <rgbColor rgb="FFF6E7DE"/>
      <rgbColor rgb="FFE2EE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7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Выручка и EBITDA по месяцам, $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"Выручка"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Модель!$D$3:$AM$3</c:f>
              <c:multiLvlStrCache>
                <c:ptCount val="1"/>
                <c:lvl>
                  <c:pt idx="0">
                    <c:v>Oct 29</c:v>
                  </c:pt>
                </c:lvl>
                <c:lvl>
                  <c:pt idx="0">
                    <c:v>Sep 29</c:v>
                  </c:pt>
                </c:lvl>
                <c:lvl>
                  <c:pt idx="0">
                    <c:v>Aug 29</c:v>
                  </c:pt>
                </c:lvl>
                <c:lvl>
                  <c:pt idx="0">
                    <c:v>Jul 29</c:v>
                  </c:pt>
                </c:lvl>
                <c:lvl>
                  <c:pt idx="0">
                    <c:v>Jun 29</c:v>
                  </c:pt>
                </c:lvl>
                <c:lvl>
                  <c:pt idx="0">
                    <c:v>May 29</c:v>
                  </c:pt>
                </c:lvl>
                <c:lvl>
                  <c:pt idx="0">
                    <c:v>Apr 29</c:v>
                  </c:pt>
                </c:lvl>
                <c:lvl>
                  <c:pt idx="0">
                    <c:v>Mar 29</c:v>
                  </c:pt>
                </c:lvl>
                <c:lvl>
                  <c:pt idx="0">
                    <c:v>Feb 29</c:v>
                  </c:pt>
                </c:lvl>
                <c:lvl>
                  <c:pt idx="0">
                    <c:v>Jan 29</c:v>
                  </c:pt>
                </c:lvl>
                <c:lvl>
                  <c:pt idx="0">
                    <c:v>Dec 28</c:v>
                  </c:pt>
                </c:lvl>
                <c:lvl>
                  <c:pt idx="0">
                    <c:v>Nov 28</c:v>
                  </c:pt>
                </c:lvl>
                <c:lvl>
                  <c:pt idx="0">
                    <c:v>Oct 28</c:v>
                  </c:pt>
                </c:lvl>
                <c:lvl>
                  <c:pt idx="0">
                    <c:v>Sep 28</c:v>
                  </c:pt>
                </c:lvl>
                <c:lvl>
                  <c:pt idx="0">
                    <c:v>Aug 28</c:v>
                  </c:pt>
                </c:lvl>
                <c:lvl>
                  <c:pt idx="0">
                    <c:v>Jul 28</c:v>
                  </c:pt>
                </c:lvl>
                <c:lvl>
                  <c:pt idx="0">
                    <c:v>Jun 28</c:v>
                  </c:pt>
                </c:lvl>
                <c:lvl>
                  <c:pt idx="0">
                    <c:v>May 28</c:v>
                  </c:pt>
                </c:lvl>
                <c:lvl>
                  <c:pt idx="0">
                    <c:v>Apr 28</c:v>
                  </c:pt>
                </c:lvl>
                <c:lvl>
                  <c:pt idx="0">
                    <c:v>Mar 28</c:v>
                  </c:pt>
                </c:lvl>
                <c:lvl>
                  <c:pt idx="0">
                    <c:v>Feb 28</c:v>
                  </c:pt>
                </c:lvl>
                <c:lvl>
                  <c:pt idx="0">
                    <c:v>Jan 28</c:v>
                  </c:pt>
                </c:lvl>
                <c:lvl>
                  <c:pt idx="0">
                    <c:v>Dec 27</c:v>
                  </c:pt>
                </c:lvl>
                <c:lvl>
                  <c:pt idx="0">
                    <c:v>Nov 27</c:v>
                  </c:pt>
                </c:lvl>
                <c:lvl>
                  <c:pt idx="0">
                    <c:v>Oct 27</c:v>
                  </c:pt>
                </c:lvl>
                <c:lvl>
                  <c:pt idx="0">
                    <c:v>Sep 27</c:v>
                  </c:pt>
                </c:lvl>
                <c:lvl>
                  <c:pt idx="0">
                    <c:v>Aug 27</c:v>
                  </c:pt>
                </c:lvl>
                <c:lvl>
                  <c:pt idx="0">
                    <c:v>Jul 27</c:v>
                  </c:pt>
                </c:lvl>
                <c:lvl>
                  <c:pt idx="0">
                    <c:v>Jun 27</c:v>
                  </c:pt>
                </c:lvl>
                <c:lvl>
                  <c:pt idx="0">
                    <c:v>May 27</c:v>
                  </c:pt>
                </c:lvl>
                <c:lvl>
                  <c:pt idx="0">
                    <c:v>Apr 27</c:v>
                  </c:pt>
                </c:lvl>
                <c:lvl>
                  <c:pt idx="0">
                    <c:v>Mar 27</c:v>
                  </c:pt>
                </c:lvl>
                <c:lvl>
                  <c:pt idx="0">
                    <c:v>Feb 27</c:v>
                  </c:pt>
                </c:lvl>
                <c:lvl>
                  <c:pt idx="0">
                    <c:v>Jan 27</c:v>
                  </c:pt>
                </c:lvl>
                <c:lvl>
                  <c:pt idx="0">
                    <c:v>Dec 26</c:v>
                  </c:pt>
                </c:lvl>
                <c:lvl>
                  <c:pt idx="0">
                    <c:v>Nov 26</c:v>
                  </c:pt>
                </c:lvl>
              </c:multiLvlStrCache>
            </c:multiLvlStrRef>
          </c:cat>
          <c:val>
            <c:numRef>
              <c:f>Модель!$D$36:$AM$36</c:f>
              <c:numCache>
                <c:formatCode>\$#,##0;"($"#,##0\);\-</c:formatCode>
                <c:ptCount val="36"/>
                <c:pt idx="0">
                  <c:v>28275.28</c:v>
                </c:pt>
                <c:pt idx="1">
                  <c:v>82370.0955</c:v>
                </c:pt>
                <c:pt idx="2">
                  <c:v>107577.76095</c:v>
                </c:pt>
                <c:pt idx="3">
                  <c:v>155651.988855</c:v>
                </c:pt>
                <c:pt idx="4">
                  <c:v>213203.8039695</c:v>
                </c:pt>
                <c:pt idx="5">
                  <c:v>268598.31957255</c:v>
                </c:pt>
                <c:pt idx="6">
                  <c:v>325170.305615295</c:v>
                </c:pt>
                <c:pt idx="7">
                  <c:v>382802.015053766</c:v>
                </c:pt>
                <c:pt idx="8">
                  <c:v>441387.475548389</c:v>
                </c:pt>
                <c:pt idx="9">
                  <c:v>500831.31199355</c:v>
                </c:pt>
                <c:pt idx="10">
                  <c:v>561047.686794195</c:v>
                </c:pt>
                <c:pt idx="11">
                  <c:v>610869.426114776</c:v>
                </c:pt>
                <c:pt idx="12">
                  <c:v>707169.814303298</c:v>
                </c:pt>
                <c:pt idx="13">
                  <c:v>773328.574532968</c:v>
                </c:pt>
                <c:pt idx="14">
                  <c:v>824159.214299671</c:v>
                </c:pt>
                <c:pt idx="15">
                  <c:v>853421.091389704</c:v>
                </c:pt>
                <c:pt idx="16">
                  <c:v>909519.349850734</c:v>
                </c:pt>
                <c:pt idx="17">
                  <c:v>966612.536865661</c:v>
                </c:pt>
                <c:pt idx="18">
                  <c:v>1024601.15957909</c:v>
                </c:pt>
                <c:pt idx="19">
                  <c:v>1083395.67442119</c:v>
                </c:pt>
                <c:pt idx="20">
                  <c:v>1142915.49217907</c:v>
                </c:pt>
                <c:pt idx="21">
                  <c:v>1203088.08256116</c:v>
                </c:pt>
                <c:pt idx="22">
                  <c:v>1263848.16830504</c:v>
                </c:pt>
                <c:pt idx="23">
                  <c:v>1325136.99987454</c:v>
                </c:pt>
                <c:pt idx="24">
                  <c:v>1466926.33308709</c:v>
                </c:pt>
                <c:pt idx="25">
                  <c:v>1547132.19775838</c:v>
                </c:pt>
                <c:pt idx="26">
                  <c:v>1598052.34832254</c:v>
                </c:pt>
                <c:pt idx="27">
                  <c:v>1611253.33409029</c:v>
                </c:pt>
                <c:pt idx="28">
                  <c:v>1670825.42108126</c:v>
                </c:pt>
                <c:pt idx="29">
                  <c:v>1731045.05377313</c:v>
                </c:pt>
                <c:pt idx="30">
                  <c:v>1791847.47759582</c:v>
                </c:pt>
                <c:pt idx="31">
                  <c:v>1853174.41343624</c:v>
                </c:pt>
                <c:pt idx="32">
                  <c:v>1911486.49809261</c:v>
                </c:pt>
                <c:pt idx="33">
                  <c:v>1952140.74428335</c:v>
                </c:pt>
                <c:pt idx="34">
                  <c:v>1989353.37385502</c:v>
                </c:pt>
                <c:pt idx="35">
                  <c:v>2023468.54846951</c:v>
                </c:pt>
              </c:numCache>
            </c:numRef>
          </c:val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Модель!$D$3:$AM$3</c:f>
              <c:multiLvlStrCache>
                <c:ptCount val="1"/>
                <c:lvl>
                  <c:pt idx="0">
                    <c:v>Oct 29</c:v>
                  </c:pt>
                </c:lvl>
                <c:lvl>
                  <c:pt idx="0">
                    <c:v>Sep 29</c:v>
                  </c:pt>
                </c:lvl>
                <c:lvl>
                  <c:pt idx="0">
                    <c:v>Aug 29</c:v>
                  </c:pt>
                </c:lvl>
                <c:lvl>
                  <c:pt idx="0">
                    <c:v>Jul 29</c:v>
                  </c:pt>
                </c:lvl>
                <c:lvl>
                  <c:pt idx="0">
                    <c:v>Jun 29</c:v>
                  </c:pt>
                </c:lvl>
                <c:lvl>
                  <c:pt idx="0">
                    <c:v>May 29</c:v>
                  </c:pt>
                </c:lvl>
                <c:lvl>
                  <c:pt idx="0">
                    <c:v>Apr 29</c:v>
                  </c:pt>
                </c:lvl>
                <c:lvl>
                  <c:pt idx="0">
                    <c:v>Mar 29</c:v>
                  </c:pt>
                </c:lvl>
                <c:lvl>
                  <c:pt idx="0">
                    <c:v>Feb 29</c:v>
                  </c:pt>
                </c:lvl>
                <c:lvl>
                  <c:pt idx="0">
                    <c:v>Jan 29</c:v>
                  </c:pt>
                </c:lvl>
                <c:lvl>
                  <c:pt idx="0">
                    <c:v>Dec 28</c:v>
                  </c:pt>
                </c:lvl>
                <c:lvl>
                  <c:pt idx="0">
                    <c:v>Nov 28</c:v>
                  </c:pt>
                </c:lvl>
                <c:lvl>
                  <c:pt idx="0">
                    <c:v>Oct 28</c:v>
                  </c:pt>
                </c:lvl>
                <c:lvl>
                  <c:pt idx="0">
                    <c:v>Sep 28</c:v>
                  </c:pt>
                </c:lvl>
                <c:lvl>
                  <c:pt idx="0">
                    <c:v>Aug 28</c:v>
                  </c:pt>
                </c:lvl>
                <c:lvl>
                  <c:pt idx="0">
                    <c:v>Jul 28</c:v>
                  </c:pt>
                </c:lvl>
                <c:lvl>
                  <c:pt idx="0">
                    <c:v>Jun 28</c:v>
                  </c:pt>
                </c:lvl>
                <c:lvl>
                  <c:pt idx="0">
                    <c:v>May 28</c:v>
                  </c:pt>
                </c:lvl>
                <c:lvl>
                  <c:pt idx="0">
                    <c:v>Apr 28</c:v>
                  </c:pt>
                </c:lvl>
                <c:lvl>
                  <c:pt idx="0">
                    <c:v>Mar 28</c:v>
                  </c:pt>
                </c:lvl>
                <c:lvl>
                  <c:pt idx="0">
                    <c:v>Feb 28</c:v>
                  </c:pt>
                </c:lvl>
                <c:lvl>
                  <c:pt idx="0">
                    <c:v>Jan 28</c:v>
                  </c:pt>
                </c:lvl>
                <c:lvl>
                  <c:pt idx="0">
                    <c:v>Dec 27</c:v>
                  </c:pt>
                </c:lvl>
                <c:lvl>
                  <c:pt idx="0">
                    <c:v>Nov 27</c:v>
                  </c:pt>
                </c:lvl>
                <c:lvl>
                  <c:pt idx="0">
                    <c:v>Oct 27</c:v>
                  </c:pt>
                </c:lvl>
                <c:lvl>
                  <c:pt idx="0">
                    <c:v>Sep 27</c:v>
                  </c:pt>
                </c:lvl>
                <c:lvl>
                  <c:pt idx="0">
                    <c:v>Aug 27</c:v>
                  </c:pt>
                </c:lvl>
                <c:lvl>
                  <c:pt idx="0">
                    <c:v>Jul 27</c:v>
                  </c:pt>
                </c:lvl>
                <c:lvl>
                  <c:pt idx="0">
                    <c:v>Jun 27</c:v>
                  </c:pt>
                </c:lvl>
                <c:lvl>
                  <c:pt idx="0">
                    <c:v>May 27</c:v>
                  </c:pt>
                </c:lvl>
                <c:lvl>
                  <c:pt idx="0">
                    <c:v>Apr 27</c:v>
                  </c:pt>
                </c:lvl>
                <c:lvl>
                  <c:pt idx="0">
                    <c:v>Mar 27</c:v>
                  </c:pt>
                </c:lvl>
                <c:lvl>
                  <c:pt idx="0">
                    <c:v>Feb 27</c:v>
                  </c:pt>
                </c:lvl>
                <c:lvl>
                  <c:pt idx="0">
                    <c:v>Jan 27</c:v>
                  </c:pt>
                </c:lvl>
                <c:lvl>
                  <c:pt idx="0">
                    <c:v>Dec 26</c:v>
                  </c:pt>
                </c:lvl>
                <c:lvl>
                  <c:pt idx="0">
                    <c:v>Nov 26</c:v>
                  </c:pt>
                </c:lvl>
              </c:multiLvlStrCache>
            </c:multiLvlStrRef>
          </c:cat>
          <c:val>
            <c:numRef>
              <c:f>Модель!$D$57:$AM$57</c:f>
              <c:numCache>
                <c:formatCode>\$#,##0;"($"#,##0\);\-</c:formatCode>
                <c:ptCount val="36"/>
                <c:pt idx="0">
                  <c:v>5917.93800000001</c:v>
                </c:pt>
                <c:pt idx="1">
                  <c:v>21884.0378305</c:v>
                </c:pt>
                <c:pt idx="2">
                  <c:v>33133.25990245</c:v>
                </c:pt>
                <c:pt idx="3">
                  <c:v>41781.89368933</c:v>
                </c:pt>
                <c:pt idx="4">
                  <c:v>59811.4618083845</c:v>
                </c:pt>
                <c:pt idx="5">
                  <c:v>78410.2518188961</c:v>
                </c:pt>
                <c:pt idx="6">
                  <c:v>100263.939211006</c:v>
                </c:pt>
                <c:pt idx="7">
                  <c:v>123699.439524448</c:v>
                </c:pt>
                <c:pt idx="8">
                  <c:v>146875.522208003</c:v>
                </c:pt>
                <c:pt idx="9">
                  <c:v>167601.812256757</c:v>
                </c:pt>
                <c:pt idx="10">
                  <c:v>193902.130191703</c:v>
                </c:pt>
                <c:pt idx="11">
                  <c:v>214801.628556533</c:v>
                </c:pt>
                <c:pt idx="12">
                  <c:v>241418.459836879</c:v>
                </c:pt>
                <c:pt idx="13">
                  <c:v>274596.373340098</c:v>
                </c:pt>
                <c:pt idx="14">
                  <c:v>300493.813203648</c:v>
                </c:pt>
                <c:pt idx="15">
                  <c:v>317933.158379043</c:v>
                </c:pt>
                <c:pt idx="16">
                  <c:v>343834.903126236</c:v>
                </c:pt>
                <c:pt idx="17">
                  <c:v>366543.195239613</c:v>
                </c:pt>
                <c:pt idx="18">
                  <c:v>393375.309672681</c:v>
                </c:pt>
                <c:pt idx="19">
                  <c:v>419204.120389812</c:v>
                </c:pt>
                <c:pt idx="20">
                  <c:v>445471.735914431</c:v>
                </c:pt>
                <c:pt idx="21">
                  <c:v>472134.275765788</c:v>
                </c:pt>
                <c:pt idx="22">
                  <c:v>499152.247511209</c:v>
                </c:pt>
                <c:pt idx="23">
                  <c:v>526490.107961289</c:v>
                </c:pt>
                <c:pt idx="24">
                  <c:v>572606.151423475</c:v>
                </c:pt>
                <c:pt idx="25">
                  <c:v>610264.475699868</c:v>
                </c:pt>
                <c:pt idx="26">
                  <c:v>641345.480916101</c:v>
                </c:pt>
                <c:pt idx="27">
                  <c:v>661955.628254291</c:v>
                </c:pt>
                <c:pt idx="28">
                  <c:v>688323.769242062</c:v>
                </c:pt>
                <c:pt idx="29">
                  <c:v>715084.495226256</c:v>
                </c:pt>
                <c:pt idx="30">
                  <c:v>743730.016869609</c:v>
                </c:pt>
                <c:pt idx="31">
                  <c:v>771215.412929448</c:v>
                </c:pt>
                <c:pt idx="32">
                  <c:v>798225.539550503</c:v>
                </c:pt>
                <c:pt idx="33">
                  <c:v>821290.517995453</c:v>
                </c:pt>
                <c:pt idx="34">
                  <c:v>843016.176610075</c:v>
                </c:pt>
                <c:pt idx="35">
                  <c:v>862122.327109068</c:v>
                </c:pt>
              </c:numCache>
            </c:numRef>
          </c:val>
        </c:ser>
        <c:gapWidth val="150"/>
        <c:overlap val="0"/>
        <c:axId val="11868351"/>
        <c:axId val="15046459"/>
      </c:barChart>
      <c:catAx>
        <c:axId val="11868351"/>
        <c:scaling>
          <c:orientation val="minMax"/>
        </c:scaling>
        <c:delete val="0"/>
        <c:axPos val="b"/>
        <c:numFmt formatCode="mmm\ 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46459"/>
        <c:crosses val="autoZero"/>
        <c:auto val="1"/>
        <c:lblAlgn val="ctr"/>
        <c:lblOffset val="100"/>
        <c:noMultiLvlLbl val="0"/>
      </c:catAx>
      <c:valAx>
        <c:axId val="150464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683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EBITDA года 2: доля прогонов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'Монте-Карло'!$A$45:$A$52</c:f>
              <c:strCache>
                <c:ptCount val="8"/>
                <c:pt idx="0">
                  <c:v>убыток</c:v>
                </c:pt>
                <c:pt idx="1">
                  <c:v>$0-0,5 млн</c:v>
                </c:pt>
                <c:pt idx="2">
                  <c:v>$0,5-1 млн</c:v>
                </c:pt>
                <c:pt idx="3">
                  <c:v>$1-2 млн</c:v>
                </c:pt>
                <c:pt idx="4">
                  <c:v>$2-3 млн</c:v>
                </c:pt>
                <c:pt idx="5">
                  <c:v>$3-4 млн</c:v>
                </c:pt>
                <c:pt idx="6">
                  <c:v>$4-5 млн</c:v>
                </c:pt>
                <c:pt idx="7">
                  <c:v>больше $5 млн</c:v>
                </c:pt>
              </c:strCache>
            </c:strRef>
          </c:cat>
          <c:val>
            <c:numRef>
              <c:f>'Монте-Карло'!$B$45:$B$52</c:f>
              <c:numCache>
                <c:formatCode>0.0%;\(0.0%\);\-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0.0004</c:v>
                </c:pt>
                <c:pt idx="3">
                  <c:v>0.0986</c:v>
                </c:pt>
                <c:pt idx="4">
                  <c:v>0.2938</c:v>
                </c:pt>
                <c:pt idx="5">
                  <c:v>0.2864</c:v>
                </c:pt>
                <c:pt idx="6">
                  <c:v>0.1724</c:v>
                </c:pt>
                <c:pt idx="7">
                  <c:v>0.1484</c:v>
                </c:pt>
              </c:numCache>
            </c:numRef>
          </c:val>
        </c:ser>
        <c:gapWidth val="150"/>
        <c:overlap val="0"/>
        <c:axId val="79304949"/>
        <c:axId val="20701112"/>
      </c:barChart>
      <c:catAx>
        <c:axId val="793049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01112"/>
        <c:crosses val="autoZero"/>
        <c:auto val="1"/>
        <c:lblAlgn val="ctr"/>
        <c:lblOffset val="100"/>
        <c:noMultiLvlLbl val="0"/>
      </c:catAx>
      <c:valAx>
        <c:axId val="207011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049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160920</xdr:rowOff>
    </xdr:from>
    <xdr:to>
      <xdr:col>3</xdr:col>
      <xdr:colOff>291960</xdr:colOff>
      <xdr:row>42</xdr:row>
      <xdr:rowOff>182880</xdr:rowOff>
    </xdr:to>
    <xdr:graphicFrame>
      <xdr:nvGraphicFramePr>
        <xdr:cNvPr id="0" name="Chart 1"/>
        <xdr:cNvGraphicFramePr/>
      </xdr:nvGraphicFramePr>
      <xdr:xfrm>
        <a:off x="0" y="533412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42</xdr:row>
      <xdr:rowOff>160560</xdr:rowOff>
    </xdr:from>
    <xdr:to>
      <xdr:col>8</xdr:col>
      <xdr:colOff>282960</xdr:colOff>
      <xdr:row>56</xdr:row>
      <xdr:rowOff>13320</xdr:rowOff>
    </xdr:to>
    <xdr:graphicFrame>
      <xdr:nvGraphicFramePr>
        <xdr:cNvPr id="1" name="Chart 1"/>
        <xdr:cNvGraphicFramePr/>
      </xdr:nvGraphicFramePr>
      <xdr:xfrm>
        <a:off x="8178840" y="819144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n">
        <f aca="false">Допущения!B3</f>
        <v>2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3" t="s">
        <v>7</v>
      </c>
      <c r="B6" s="6" t="n">
        <f aca="false">'Итоги по годам'!B16</f>
        <v>3677785.46996702</v>
      </c>
      <c r="C6" s="6" t="n">
        <f aca="false">'Итоги по годам'!C16</f>
        <v>12077196.1581621</v>
      </c>
      <c r="D6" s="6" t="n">
        <f aca="false">'Итоги по годам'!D16</f>
        <v>21146705.7438452</v>
      </c>
    </row>
    <row r="7" customFormat="false" ht="15" hidden="false" customHeight="false" outlineLevel="0" collapsed="false">
      <c r="A7" s="7" t="s">
        <v>8</v>
      </c>
      <c r="B7" s="8" t="n">
        <f aca="false">'Итоги по годам'!B27</f>
        <v>1388534.11499801</v>
      </c>
      <c r="C7" s="8" t="n">
        <f aca="false">'Итоги по годам'!C27</f>
        <v>5197233.30034073</v>
      </c>
      <c r="D7" s="8" t="n">
        <f aca="false">'Итоги по годам'!D27</f>
        <v>9558712.34382621</v>
      </c>
    </row>
    <row r="8" customFormat="false" ht="15" hidden="false" customHeight="false" outlineLevel="0" collapsed="false">
      <c r="A8" s="7" t="s">
        <v>9</v>
      </c>
      <c r="B8" s="9" t="n">
        <f aca="false">'Итоги по годам'!B41</f>
        <v>0.377546250681789</v>
      </c>
      <c r="C8" s="9" t="n">
        <f aca="false">'Итоги по годам'!C41</f>
        <v>0.430334427981306</v>
      </c>
      <c r="D8" s="9" t="n">
        <f aca="false">'Итоги по годам'!D41</f>
        <v>0.452018979202389</v>
      </c>
    </row>
    <row r="9" customFormat="false" ht="15" hidden="false" customHeight="false" outlineLevel="0" collapsed="false">
      <c r="A9" s="7" t="s">
        <v>10</v>
      </c>
      <c r="B9" s="8" t="n">
        <f aca="false">'Итоги по годам'!B34</f>
        <v>200450.8</v>
      </c>
      <c r="C9" s="8" t="n">
        <f aca="false">'Итоги по годам'!C34</f>
        <v>596585.6</v>
      </c>
      <c r="D9" s="8" t="n">
        <f aca="false">'Итоги по годам'!D34</f>
        <v>829532.352</v>
      </c>
    </row>
    <row r="10" customFormat="false" ht="15" hidden="false" customHeight="false" outlineLevel="0" collapsed="false">
      <c r="A10" s="3" t="s">
        <v>11</v>
      </c>
      <c r="B10" s="6" t="n">
        <f aca="false">'Итоги по годам'!B35</f>
        <v>1188083.31499801</v>
      </c>
      <c r="C10" s="6" t="n">
        <f aca="false">'Итоги по годам'!C35</f>
        <v>4600647.70034073</v>
      </c>
      <c r="D10" s="6" t="n">
        <f aca="false">'Итоги по годам'!D35</f>
        <v>8729179.99182621</v>
      </c>
    </row>
    <row r="11" customFormat="false" ht="15" hidden="false" customHeight="false" outlineLevel="0" collapsed="false">
      <c r="A11" s="7" t="s">
        <v>12</v>
      </c>
      <c r="B11" s="9" t="n">
        <f aca="false">'Итоги по годам'!B42</f>
        <v>0.323043126006114</v>
      </c>
      <c r="C11" s="9" t="n">
        <f aca="false">'Итоги по годам'!C42</f>
        <v>0.3809367373098</v>
      </c>
      <c r="D11" s="9" t="n">
        <f aca="false">'Итоги по годам'!D42</f>
        <v>0.412791481451755</v>
      </c>
    </row>
    <row r="12" customFormat="false" ht="15" hidden="false" customHeight="false" outlineLevel="0" collapsed="false">
      <c r="A12" s="7" t="s">
        <v>13</v>
      </c>
      <c r="B12" s="8" t="n">
        <f aca="false">'Итоги по годам'!B37</f>
        <v>891062.486248508</v>
      </c>
      <c r="C12" s="8" t="n">
        <f aca="false">'Итоги по годам'!C37</f>
        <v>3450485.77525555</v>
      </c>
      <c r="D12" s="8" t="n">
        <f aca="false">'Итоги по годам'!D37</f>
        <v>6546884.99386966</v>
      </c>
    </row>
    <row r="13" customFormat="false" ht="15" hidden="false" customHeight="false" outlineLevel="0" collapsed="false">
      <c r="A13" s="7" t="s">
        <v>14</v>
      </c>
      <c r="B13" s="10" t="n">
        <f aca="false">'Итоги по годам'!B9</f>
        <v>74271.0745030504</v>
      </c>
      <c r="C13" s="10" t="n">
        <f aca="false">'Итоги по годам'!C9</f>
        <v>237924.82125754</v>
      </c>
      <c r="D13" s="10" t="n">
        <f aca="false">'Итоги по годам'!D9</f>
        <v>405293.531638526</v>
      </c>
    </row>
    <row r="14" customFormat="false" ht="15" hidden="false" customHeight="false" outlineLevel="0" collapsed="false">
      <c r="A14" s="7" t="s">
        <v>15</v>
      </c>
      <c r="B14" s="10" t="n">
        <f aca="false">'Итоги по годам'!B43</f>
        <v>3893.98254969496</v>
      </c>
      <c r="C14" s="10" t="n">
        <f aca="false">'Итоги по годам'!C43</f>
        <v>10187.600423941</v>
      </c>
      <c r="D14" s="10" t="n">
        <f aca="false">'Итоги по годам'!D43</f>
        <v>17004.9552600884</v>
      </c>
    </row>
    <row r="15" customFormat="false" ht="15" hidden="false" customHeight="false" outlineLevel="0" collapsed="false">
      <c r="A15" s="7" t="s">
        <v>16</v>
      </c>
      <c r="B15" s="10" t="n">
        <f aca="false">'Итоги по годам'!B44</f>
        <v>150</v>
      </c>
      <c r="C15" s="10" t="n">
        <f aca="false">'Итоги по годам'!C44</f>
        <v>294</v>
      </c>
      <c r="D15" s="10" t="n">
        <f aca="false">'Итоги по годам'!D44</f>
        <v>400</v>
      </c>
    </row>
    <row r="16" customFormat="false" ht="15" hidden="false" customHeight="false" outlineLevel="0" collapsed="false">
      <c r="A16" s="7" t="s">
        <v>17</v>
      </c>
      <c r="B16" s="8" t="n">
        <f aca="false">'Итоги по годам'!B45</f>
        <v>624408.9251829</v>
      </c>
      <c r="C16" s="8" t="n">
        <f aca="false">'Итоги по годам'!C45</f>
        <v>3804061.37969506</v>
      </c>
      <c r="D16" s="8" t="n">
        <f aca="false">'Итоги по годам'!D45</f>
        <v>10138854.010668</v>
      </c>
    </row>
    <row r="18" customFormat="false" ht="15" hidden="false" customHeight="false" outlineLevel="0" collapsed="false">
      <c r="A18" s="3" t="s">
        <v>18</v>
      </c>
      <c r="B18" s="8" t="n">
        <f aca="false">'Итоги по годам'!E46</f>
        <v>-8323.23865712499</v>
      </c>
    </row>
    <row r="19" customFormat="false" ht="15" hidden="false" customHeight="false" outlineLevel="0" collapsed="false">
      <c r="A19" s="3" t="s">
        <v>19</v>
      </c>
      <c r="B19" s="4" t="n">
        <f aca="false">'Итоги по годам'!E47</f>
        <v>7</v>
      </c>
    </row>
    <row r="21" customFormat="false" ht="15" hidden="false" customHeight="false" outlineLevel="0" collapsed="false">
      <c r="A21" s="11" t="s">
        <v>20</v>
      </c>
    </row>
    <row r="22" customFormat="false" ht="15" hidden="false" customHeight="false" outlineLevel="0" collapsed="false">
      <c r="A22" s="7" t="s">
        <v>21</v>
      </c>
    </row>
    <row r="23" customFormat="false" ht="15" hidden="false" customHeight="false" outlineLevel="0" collapsed="false">
      <c r="A23" s="7" t="s">
        <v>22</v>
      </c>
    </row>
    <row r="24" customFormat="false" ht="15" hidden="false" customHeight="false" outlineLevel="0" collapsed="false">
      <c r="A24" s="7" t="s">
        <v>23</v>
      </c>
    </row>
    <row r="25" customFormat="false" ht="15" hidden="false" customHeight="false" outlineLevel="0" collapsed="false">
      <c r="A25" s="7" t="s">
        <v>24</v>
      </c>
    </row>
    <row r="26" customFormat="false" ht="15" hidden="false" customHeight="false" outlineLevel="0" collapsed="false">
      <c r="A26" s="7" t="s">
        <v>25</v>
      </c>
    </row>
    <row r="27" customFormat="false" ht="15" hidden="false" customHeight="false" outlineLevel="0" collapsed="false">
      <c r="A27" s="7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2" width="52"/>
    <col collapsed="false" customWidth="true" hidden="false" outlineLevel="0" max="5" min="2" style="12" width="16"/>
  </cols>
  <sheetData>
    <row r="1" customFormat="false" ht="17.25" hidden="false" customHeight="true" outlineLevel="0" collapsed="false">
      <c r="A1" s="13" t="s">
        <v>27</v>
      </c>
    </row>
    <row r="2" customFormat="false" ht="15" hidden="false" customHeight="true" outlineLevel="0" collapsed="false">
      <c r="A2" s="14" t="s">
        <v>28</v>
      </c>
    </row>
    <row r="4" customFormat="false" ht="15" hidden="false" customHeight="true" outlineLevel="0" collapsed="false">
      <c r="A4" s="15" t="s">
        <v>3</v>
      </c>
      <c r="B4" s="15" t="s">
        <v>4</v>
      </c>
      <c r="C4" s="15" t="s">
        <v>5</v>
      </c>
      <c r="D4" s="15" t="s">
        <v>6</v>
      </c>
      <c r="E4" s="15" t="s">
        <v>29</v>
      </c>
    </row>
    <row r="5" customFormat="false" ht="15" hidden="false" customHeight="true" outlineLevel="0" collapsed="false">
      <c r="A5" s="16" t="s">
        <v>30</v>
      </c>
      <c r="B5" s="17" t="n">
        <f aca="false">SUMIF(Модель!$D$5:$AM$5,1,Модель!$D$12:$AM$12)</f>
        <v>34358</v>
      </c>
      <c r="C5" s="17" t="n">
        <f aca="false">SUMIF(Модель!$D$5:$AM$5,2,Модель!$D$12:$AM$12)</f>
        <v>87516</v>
      </c>
      <c r="D5" s="17" t="n">
        <f aca="false">SUMIF(Модель!$D$5:$AM$5,3,Модель!$D$12:$AM$12)</f>
        <v>140730.72</v>
      </c>
      <c r="E5" s="18" t="n">
        <f aca="false">SUM(B5:D5)</f>
        <v>262604.72</v>
      </c>
    </row>
    <row r="6" customFormat="false" ht="15" hidden="false" customHeight="true" outlineLevel="0" collapsed="false">
      <c r="A6" s="16" t="s">
        <v>31</v>
      </c>
      <c r="B6" s="17" t="n">
        <f aca="false">SUMIF(Модель!$D$5:$AM$5,1,Модель!$D$13:$AM$13)</f>
        <v>3435.8</v>
      </c>
      <c r="C6" s="17" t="n">
        <f aca="false">SUMIF(Модель!$D$5:$AM$5,2,Модель!$D$13:$AM$13)</f>
        <v>8751.6</v>
      </c>
      <c r="D6" s="17" t="n">
        <f aca="false">SUMIF(Модель!$D$5:$AM$5,3,Модель!$D$13:$AM$13)</f>
        <v>14073.072</v>
      </c>
      <c r="E6" s="18" t="n">
        <f aca="false">SUM(B6:D6)</f>
        <v>26260.472</v>
      </c>
    </row>
    <row r="7" customFormat="false" ht="15" hidden="false" customHeight="true" outlineLevel="0" collapsed="false">
      <c r="A7" s="16" t="s">
        <v>32</v>
      </c>
      <c r="B7" s="17" t="n">
        <f aca="false">SUMIF(Модель!$D$5:$AM$5,1,Модель!$D$16:$AM$16)</f>
        <v>17750.8745030504</v>
      </c>
      <c r="C7" s="17" t="n">
        <f aca="false">SUMIF(Модель!$D$5:$AM$5,2,Модель!$D$16:$AM$16)</f>
        <v>81465.2212575397</v>
      </c>
      <c r="D7" s="17" t="n">
        <f aca="false">SUMIF(Модель!$D$5:$AM$5,3,Модель!$D$16:$AM$16)</f>
        <v>164032.139638526</v>
      </c>
      <c r="E7" s="18" t="n">
        <f aca="false">SUM(B7:D7)</f>
        <v>263248.235399116</v>
      </c>
    </row>
    <row r="8" customFormat="false" ht="15" hidden="false" customHeight="true" outlineLevel="0" collapsed="false">
      <c r="A8" s="16" t="s">
        <v>33</v>
      </c>
      <c r="B8" s="17" t="n">
        <f aca="false">SUMIF(Модель!$D$5:$AM$5,1,Модель!$D$18:$AM$18)</f>
        <v>18726.4</v>
      </c>
      <c r="C8" s="17" t="n">
        <f aca="false">SUMIF(Модель!$D$5:$AM$5,2,Модель!$D$18:$AM$18)</f>
        <v>60192</v>
      </c>
      <c r="D8" s="17" t="n">
        <f aca="false">SUMIF(Модель!$D$5:$AM$5,3,Модель!$D$18:$AM$18)</f>
        <v>86457.6</v>
      </c>
      <c r="E8" s="18" t="n">
        <f aca="false">SUM(B8:D8)</f>
        <v>165376</v>
      </c>
    </row>
    <row r="9" customFormat="false" ht="15" hidden="false" customHeight="true" outlineLevel="0" collapsed="false">
      <c r="A9" s="19" t="s">
        <v>34</v>
      </c>
      <c r="B9" s="20" t="n">
        <f aca="false">SUMIF(Модель!$D$5:$AM$5,1,Модель!$D$19:$AM$19)</f>
        <v>74271.0745030504</v>
      </c>
      <c r="C9" s="20" t="n">
        <f aca="false">SUMIF(Модель!$D$5:$AM$5,2,Модель!$D$19:$AM$19)</f>
        <v>237924.82125754</v>
      </c>
      <c r="D9" s="20" t="n">
        <f aca="false">SUMIF(Модель!$D$5:$AM$5,3,Модель!$D$19:$AM$19)</f>
        <v>405293.531638526</v>
      </c>
      <c r="E9" s="20" t="n">
        <f aca="false">SUM(B9:D9)</f>
        <v>717489.427399116</v>
      </c>
    </row>
    <row r="10" customFormat="false" ht="15" hidden="false" customHeight="true" outlineLevel="0" collapsed="false">
      <c r="A10" s="16" t="s">
        <v>35</v>
      </c>
      <c r="B10" s="17" t="n">
        <f aca="false">SUMIF(Модель!$D$5:$AM$5,1,Модель!$D$25:$AM$25)</f>
        <v>118692.175769287</v>
      </c>
      <c r="C10" s="17" t="n">
        <f aca="false">SUMIF(Модель!$D$5:$AM$5,2,Модель!$D$25:$AM$25)</f>
        <v>395480.277298026</v>
      </c>
      <c r="D10" s="17" t="n">
        <f aca="false">SUMIF(Модель!$D$5:$AM$5,3,Модель!$D$25:$AM$25)</f>
        <v>699115.177895721</v>
      </c>
      <c r="E10" s="18" t="n">
        <f aca="false">SUM(B10:D10)</f>
        <v>1213287.63096303</v>
      </c>
    </row>
    <row r="12" customFormat="false" ht="15" hidden="false" customHeight="true" outlineLevel="0" collapsed="false">
      <c r="A12" s="16" t="s">
        <v>36</v>
      </c>
      <c r="B12" s="21" t="n">
        <f aca="false">SUMIF(Модель!$D$5:$AM$5,1,Модель!$D$32:$AM$32)</f>
        <v>1745386.4</v>
      </c>
      <c r="C12" s="21" t="n">
        <f aca="false">SUMIF(Модель!$D$5:$AM$5,2,Модель!$D$32:$AM$32)</f>
        <v>4445812.8</v>
      </c>
      <c r="D12" s="21" t="n">
        <f aca="false">SUMIF(Модель!$D$5:$AM$5,3,Модель!$D$32:$AM$32)</f>
        <v>7149120.576</v>
      </c>
      <c r="E12" s="22" t="n">
        <f aca="false">SUM(B12:D12)</f>
        <v>13340319.776</v>
      </c>
    </row>
    <row r="13" customFormat="false" ht="15" hidden="false" customHeight="true" outlineLevel="0" collapsed="false">
      <c r="A13" s="16" t="s">
        <v>37</v>
      </c>
      <c r="B13" s="21" t="n">
        <f aca="false">SUMIF(Модель!$D$5:$AM$5,1,Модель!$D$33:$AM$33)</f>
        <v>174538.64</v>
      </c>
      <c r="C13" s="21" t="n">
        <f aca="false">SUMIF(Модель!$D$5:$AM$5,2,Модель!$D$33:$AM$33)</f>
        <v>444581.28</v>
      </c>
      <c r="D13" s="21" t="n">
        <f aca="false">SUMIF(Модель!$D$5:$AM$5,3,Модель!$D$33:$AM$33)</f>
        <v>714912.0576</v>
      </c>
      <c r="E13" s="22" t="n">
        <f aca="false">SUM(B13:D13)</f>
        <v>1334031.9776</v>
      </c>
    </row>
    <row r="14" customFormat="false" ht="15" hidden="false" customHeight="true" outlineLevel="0" collapsed="false">
      <c r="A14" s="16" t="s">
        <v>38</v>
      </c>
      <c r="B14" s="21" t="n">
        <f aca="false">SUMIF(Модель!$D$5:$AM$5,1,Модель!$D$34:$AM$34)</f>
        <v>1117417.54996702</v>
      </c>
      <c r="C14" s="21" t="n">
        <f aca="false">SUMIF(Модель!$D$5:$AM$5,2,Модель!$D$34:$AM$34)</f>
        <v>5128235.67816213</v>
      </c>
      <c r="D14" s="21" t="n">
        <f aca="false">SUMIF(Модель!$D$5:$AM$5,3,Модель!$D$34:$AM$34)</f>
        <v>10325823.1902452</v>
      </c>
      <c r="E14" s="22" t="n">
        <f aca="false">SUM(B14:D14)</f>
        <v>16571476.4183744</v>
      </c>
    </row>
    <row r="15" customFormat="false" ht="15" hidden="false" customHeight="true" outlineLevel="0" collapsed="false">
      <c r="A15" s="16" t="s">
        <v>39</v>
      </c>
      <c r="B15" s="21" t="n">
        <f aca="false">SUMIF(Модель!$D$5:$AM$5,1,Модель!$D$35:$AM$35)</f>
        <v>640442.88</v>
      </c>
      <c r="C15" s="21" t="n">
        <f aca="false">SUMIF(Модель!$D$5:$AM$5,2,Модель!$D$35:$AM$35)</f>
        <v>2058566.4</v>
      </c>
      <c r="D15" s="21" t="n">
        <f aca="false">SUMIF(Модель!$D$5:$AM$5,3,Модель!$D$35:$AM$35)</f>
        <v>2956849.92</v>
      </c>
      <c r="E15" s="22" t="n">
        <f aca="false">SUM(B15:D15)</f>
        <v>5655859.2</v>
      </c>
    </row>
    <row r="16" customFormat="false" ht="15" hidden="false" customHeight="true" outlineLevel="0" collapsed="false">
      <c r="A16" s="19" t="s">
        <v>40</v>
      </c>
      <c r="B16" s="23" t="n">
        <f aca="false">SUMIF(Модель!$D$5:$AM$5,1,Модель!$D$36:$AM$36)</f>
        <v>3677785.46996702</v>
      </c>
      <c r="C16" s="23" t="n">
        <f aca="false">SUMIF(Модель!$D$5:$AM$5,2,Модель!$D$36:$AM$36)</f>
        <v>12077196.1581621</v>
      </c>
      <c r="D16" s="23" t="n">
        <f aca="false">SUMIF(Модель!$D$5:$AM$5,3,Модель!$D$36:$AM$36)</f>
        <v>21146705.7438452</v>
      </c>
      <c r="E16" s="23" t="n">
        <f aca="false">SUM(B16:D16)</f>
        <v>36901687.3719744</v>
      </c>
    </row>
    <row r="18" customFormat="false" ht="15" hidden="false" customHeight="true" outlineLevel="0" collapsed="false">
      <c r="A18" s="16" t="s">
        <v>41</v>
      </c>
      <c r="B18" s="21" t="n">
        <f aca="false">SUMIF(Модель!$D$5:$AM$5,1,Модель!$D$38:$AM$38)</f>
        <v>766640.738934393</v>
      </c>
      <c r="C18" s="21" t="n">
        <f aca="false">SUMIF(Модель!$D$5:$AM$5,2,Модель!$D$38:$AM$38)</f>
        <v>2373776.32005661</v>
      </c>
      <c r="D18" s="21" t="n">
        <f aca="false">SUMIF(Модель!$D$5:$AM$5,3,Модель!$D$38:$AM$38)</f>
        <v>4124801.37630328</v>
      </c>
      <c r="E18" s="22" t="n">
        <f aca="false">SUM(B18:D18)</f>
        <v>7265218.43529428</v>
      </c>
    </row>
    <row r="19" customFormat="false" ht="15" hidden="false" customHeight="true" outlineLevel="0" collapsed="false">
      <c r="A19" s="16" t="s">
        <v>42</v>
      </c>
      <c r="B19" s="21" t="n">
        <f aca="false">SUMIF(Модель!$D$5:$AM$5,1,Модель!$D$39:$AM$39)</f>
        <v>139630.912</v>
      </c>
      <c r="C19" s="21" t="n">
        <f aca="false">SUMIF(Модель!$D$5:$AM$5,2,Модель!$D$39:$AM$39)</f>
        <v>355665.024</v>
      </c>
      <c r="D19" s="21" t="n">
        <f aca="false">SUMIF(Модель!$D$5:$AM$5,3,Модель!$D$39:$AM$39)</f>
        <v>571929.64608</v>
      </c>
      <c r="E19" s="22" t="n">
        <f aca="false">SUM(B19:D19)</f>
        <v>1067225.58208</v>
      </c>
    </row>
    <row r="20" customFormat="false" ht="15" hidden="false" customHeight="true" outlineLevel="0" collapsed="false">
      <c r="A20" s="16" t="s">
        <v>43</v>
      </c>
      <c r="B20" s="21" t="n">
        <f aca="false">SUMIF(Модель!$D$5:$AM$5,1,Модель!$D$40:$AM$40)</f>
        <v>523615.92</v>
      </c>
      <c r="C20" s="21" t="n">
        <f aca="false">SUMIF(Модель!$D$5:$AM$5,2,Модель!$D$40:$AM$40)</f>
        <v>1333743.84</v>
      </c>
      <c r="D20" s="21" t="n">
        <f aca="false">SUMIF(Модель!$D$5:$AM$5,3,Модель!$D$40:$AM$40)</f>
        <v>2144736.1728</v>
      </c>
      <c r="E20" s="22" t="n">
        <f aca="false">SUM(B20:D20)</f>
        <v>4002095.9328</v>
      </c>
    </row>
    <row r="21" customFormat="false" ht="15" hidden="false" customHeight="true" outlineLevel="0" collapsed="false">
      <c r="A21" s="16" t="s">
        <v>44</v>
      </c>
      <c r="B21" s="21" t="n">
        <f aca="false">SUMIF(Модель!$D$5:$AM$5,1,Модель!$D$41:$AM$41)</f>
        <v>43822.7318599587</v>
      </c>
      <c r="C21" s="21" t="n">
        <f aca="false">SUMIF(Модель!$D$5:$AM$5,2,Модель!$D$41:$AM$41)</f>
        <v>188676.738163964</v>
      </c>
      <c r="D21" s="21" t="n">
        <f aca="false">SUMIF(Модель!$D$5:$AM$5,3,Модель!$D$41:$AM$41)</f>
        <v>373612.885679069</v>
      </c>
      <c r="E21" s="22" t="n">
        <f aca="false">SUM(B21:D21)</f>
        <v>606112.355702992</v>
      </c>
    </row>
    <row r="22" customFormat="false" ht="15" hidden="false" customHeight="true" outlineLevel="0" collapsed="false">
      <c r="A22" s="16" t="s">
        <v>45</v>
      </c>
      <c r="B22" s="21" t="n">
        <f aca="false">SUMIF(Модель!$D$5:$AM$5,1,Модель!$D$42:$AM$42)</f>
        <v>210110.208</v>
      </c>
      <c r="C22" s="21" t="n">
        <f aca="false">SUMIF(Модель!$D$5:$AM$5,2,Модель!$D$42:$AM$42)</f>
        <v>675354.24</v>
      </c>
      <c r="D22" s="21" t="n">
        <f aca="false">SUMIF(Модель!$D$5:$AM$5,3,Модель!$D$42:$AM$42)</f>
        <v>970054.272</v>
      </c>
      <c r="E22" s="22" t="n">
        <f aca="false">SUM(B22:D22)</f>
        <v>1855518.72</v>
      </c>
    </row>
    <row r="23" customFormat="false" ht="15" hidden="false" customHeight="true" outlineLevel="0" collapsed="false">
      <c r="A23" s="16" t="s">
        <v>46</v>
      </c>
      <c r="B23" s="21" t="n">
        <f aca="false">SUMIF(Модель!$D$5:$AM$5,1,Модель!$D$43:$AM$43)</f>
        <v>96066.432</v>
      </c>
      <c r="C23" s="21" t="n">
        <f aca="false">SUMIF(Модель!$D$5:$AM$5,2,Модель!$D$43:$AM$43)</f>
        <v>308784.96</v>
      </c>
      <c r="D23" s="21" t="n">
        <f aca="false">SUMIF(Модель!$D$5:$AM$5,3,Модель!$D$43:$AM$43)</f>
        <v>443527.488</v>
      </c>
      <c r="E23" s="22" t="n">
        <f aca="false">SUM(B23:D23)</f>
        <v>848378.88</v>
      </c>
    </row>
    <row r="24" customFormat="false" ht="15" hidden="false" customHeight="true" outlineLevel="0" collapsed="false">
      <c r="A24" s="16" t="s">
        <v>47</v>
      </c>
      <c r="B24" s="21" t="n">
        <f aca="false">SUMIF(Модель!$D$5:$AM$5,1,Модель!$D$44:$AM$44)</f>
        <v>292302.010117692</v>
      </c>
      <c r="C24" s="21" t="n">
        <f aca="false">SUMIF(Модель!$D$5:$AM$5,2,Модель!$D$44:$AM$44)</f>
        <v>954798.95929373</v>
      </c>
      <c r="D24" s="21" t="n">
        <f aca="false">SUMIF(Модель!$D$5:$AM$5,3,Модель!$D$44:$AM$44)</f>
        <v>1726953.40782345</v>
      </c>
      <c r="E24" s="22" t="n">
        <f aca="false">SUM(B24:D24)</f>
        <v>2974054.37723487</v>
      </c>
    </row>
    <row r="25" customFormat="false" ht="15" hidden="false" customHeight="true" outlineLevel="0" collapsed="false">
      <c r="A25" s="16" t="s">
        <v>48</v>
      </c>
      <c r="B25" s="21" t="n">
        <f aca="false">SUMIF(Модель!$D$5:$AM$5,1,Модель!$D$45:$AM$45)</f>
        <v>138861.686257626</v>
      </c>
      <c r="C25" s="21" t="n">
        <f aca="false">SUMIF(Модель!$D$5:$AM$5,2,Модель!$D$45:$AM$45)</f>
        <v>444332.053143849</v>
      </c>
      <c r="D25" s="21" t="n">
        <f aca="false">SUMIF(Модель!$D$5:$AM$5,3,Модель!$D$45:$AM$45)</f>
        <v>797089.829096316</v>
      </c>
      <c r="E25" s="22" t="n">
        <f aca="false">SUM(B25:D25)</f>
        <v>1380283.56849779</v>
      </c>
    </row>
    <row r="26" customFormat="false" ht="15" hidden="false" customHeight="true" outlineLevel="0" collapsed="false">
      <c r="A26" s="16" t="s">
        <v>49</v>
      </c>
      <c r="B26" s="21" t="n">
        <f aca="false">SUMIF(Модель!$D$5:$AM$5,1,Модель!$D$46:$AM$46)</f>
        <v>78200.7157993404</v>
      </c>
      <c r="C26" s="21" t="n">
        <f aca="false">SUMIF(Модель!$D$5:$AM$5,2,Модель!$D$46:$AM$46)</f>
        <v>244830.723163243</v>
      </c>
      <c r="D26" s="21" t="n">
        <f aca="false">SUMIF(Модель!$D$5:$AM$5,3,Модель!$D$46:$AM$46)</f>
        <v>435288.322236904</v>
      </c>
      <c r="E26" s="22" t="n">
        <f aca="false">SUM(B26:D26)</f>
        <v>758319.761199487</v>
      </c>
    </row>
    <row r="27" customFormat="false" ht="15" hidden="false" customHeight="true" outlineLevel="0" collapsed="false">
      <c r="A27" s="19" t="s">
        <v>8</v>
      </c>
      <c r="B27" s="23" t="n">
        <f aca="false">SUMIF(Модель!$D$5:$AM$5,1,Модель!$D$48:$AM$48)</f>
        <v>1388534.11499801</v>
      </c>
      <c r="C27" s="23" t="n">
        <f aca="false">SUMIF(Модель!$D$5:$AM$5,2,Модель!$D$48:$AM$48)</f>
        <v>5197233.30034073</v>
      </c>
      <c r="D27" s="23" t="n">
        <f aca="false">SUMIF(Модель!$D$5:$AM$5,3,Модель!$D$48:$AM$48)</f>
        <v>9558712.34382621</v>
      </c>
      <c r="E27" s="23" t="n">
        <f aca="false">SUM(B27:D27)</f>
        <v>16144479.7591649</v>
      </c>
    </row>
    <row r="29" customFormat="false" ht="15" hidden="false" customHeight="true" outlineLevel="0" collapsed="false">
      <c r="A29" s="16" t="s">
        <v>50</v>
      </c>
      <c r="B29" s="21" t="n">
        <f aca="false">SUMIF(Модель!$D$5:$AM$5,1,Модель!$D$51:$AM$51)</f>
        <v>6000</v>
      </c>
      <c r="C29" s="21" t="n">
        <f aca="false">SUMIF(Модель!$D$5:$AM$5,2,Модель!$D$51:$AM$51)</f>
        <v>12000</v>
      </c>
      <c r="D29" s="21" t="n">
        <f aca="false">SUMIF(Модель!$D$5:$AM$5,3,Модель!$D$51:$AM$51)</f>
        <v>18000</v>
      </c>
      <c r="E29" s="22" t="n">
        <f aca="false">SUM(B29:D29)</f>
        <v>36000</v>
      </c>
    </row>
    <row r="30" customFormat="false" ht="15" hidden="false" customHeight="true" outlineLevel="0" collapsed="false">
      <c r="A30" s="16" t="s">
        <v>51</v>
      </c>
      <c r="B30" s="21" t="n">
        <f aca="false">SUMIF(Модель!$D$5:$AM$5,1,Модель!$D$52:$AM$52)</f>
        <v>2150</v>
      </c>
      <c r="C30" s="21" t="n">
        <f aca="false">SUMIF(Модель!$D$5:$AM$5,2,Модель!$D$52:$AM$52)</f>
        <v>6000</v>
      </c>
      <c r="D30" s="21" t="n">
        <f aca="false">SUMIF(Модель!$D$5:$AM$5,3,Модель!$D$52:$AM$52)</f>
        <v>6000</v>
      </c>
      <c r="E30" s="22" t="n">
        <f aca="false">SUM(B30:D30)</f>
        <v>14150</v>
      </c>
    </row>
    <row r="31" customFormat="false" ht="15" hidden="false" customHeight="true" outlineLevel="0" collapsed="false">
      <c r="A31" s="16" t="s">
        <v>52</v>
      </c>
      <c r="B31" s="21" t="n">
        <f aca="false">SUMIF(Модель!$D$5:$AM$5,1,Модель!$D$53:$AM$53)</f>
        <v>3600</v>
      </c>
      <c r="C31" s="21" t="n">
        <f aca="false">SUMIF(Модель!$D$5:$AM$5,2,Модель!$D$53:$AM$53)</f>
        <v>3600</v>
      </c>
      <c r="D31" s="21" t="n">
        <f aca="false">SUMIF(Модель!$D$5:$AM$5,3,Модель!$D$53:$AM$53)</f>
        <v>3600</v>
      </c>
      <c r="E31" s="22" t="n">
        <f aca="false">SUM(B31:D31)</f>
        <v>10800</v>
      </c>
    </row>
    <row r="32" customFormat="false" ht="15" hidden="false" customHeight="true" outlineLevel="0" collapsed="false">
      <c r="A32" s="16" t="s">
        <v>53</v>
      </c>
      <c r="B32" s="21" t="n">
        <f aca="false">SUMIF(Модель!$D$5:$AM$5,1,Модель!$D$54:$AM$54)</f>
        <v>68000</v>
      </c>
      <c r="C32" s="21" t="n">
        <f aca="false">SUMIF(Модель!$D$5:$AM$5,2,Модель!$D$54:$AM$54)</f>
        <v>233000</v>
      </c>
      <c r="D32" s="21" t="n">
        <f aca="false">SUMIF(Модель!$D$5:$AM$5,3,Модель!$D$54:$AM$54)</f>
        <v>252000</v>
      </c>
      <c r="E32" s="22" t="n">
        <f aca="false">SUM(B32:D32)</f>
        <v>553000</v>
      </c>
    </row>
    <row r="33" customFormat="false" ht="15" hidden="false" customHeight="true" outlineLevel="0" collapsed="false">
      <c r="A33" s="16" t="s">
        <v>54</v>
      </c>
      <c r="B33" s="21" t="n">
        <f aca="false">SUMIF(Модель!$D$5:$AM$5,1,Модель!$D$55:$AM$55)</f>
        <v>120700.8</v>
      </c>
      <c r="C33" s="21" t="n">
        <f aca="false">SUMIF(Модель!$D$5:$AM$5,2,Модель!$D$55:$AM$55)</f>
        <v>341985.6</v>
      </c>
      <c r="D33" s="21" t="n">
        <f aca="false">SUMIF(Модель!$D$5:$AM$5,3,Модель!$D$55:$AM$55)</f>
        <v>549932.352</v>
      </c>
      <c r="E33" s="22" t="n">
        <f aca="false">SUM(B33:D33)</f>
        <v>1012618.752</v>
      </c>
    </row>
    <row r="34" customFormat="false" ht="15" hidden="false" customHeight="true" outlineLevel="0" collapsed="false">
      <c r="A34" s="16" t="s">
        <v>10</v>
      </c>
      <c r="B34" s="21" t="n">
        <f aca="false">SUMIF(Модель!$D$5:$AM$5,1,Модель!$D$56:$AM$56)</f>
        <v>200450.8</v>
      </c>
      <c r="C34" s="21" t="n">
        <f aca="false">SUMIF(Модель!$D$5:$AM$5,2,Модель!$D$56:$AM$56)</f>
        <v>596585.6</v>
      </c>
      <c r="D34" s="21" t="n">
        <f aca="false">SUMIF(Модель!$D$5:$AM$5,3,Модель!$D$56:$AM$56)</f>
        <v>829532.352</v>
      </c>
      <c r="E34" s="22" t="n">
        <f aca="false">SUM(B34:D34)</f>
        <v>1626568.752</v>
      </c>
    </row>
    <row r="35" customFormat="false" ht="15" hidden="false" customHeight="true" outlineLevel="0" collapsed="false">
      <c r="A35" s="19" t="s">
        <v>55</v>
      </c>
      <c r="B35" s="23" t="n">
        <f aca="false">SUMIF(Модель!$D$5:$AM$5,1,Модель!$D$57:$AM$57)</f>
        <v>1188083.31499801</v>
      </c>
      <c r="C35" s="23" t="n">
        <f aca="false">SUMIF(Модель!$D$5:$AM$5,2,Модель!$D$57:$AM$57)</f>
        <v>4600647.70034073</v>
      </c>
      <c r="D35" s="23" t="n">
        <f aca="false">SUMIF(Модель!$D$5:$AM$5,3,Модель!$D$57:$AM$57)</f>
        <v>8729179.99182621</v>
      </c>
      <c r="E35" s="23" t="n">
        <f aca="false">SUM(B35:D35)</f>
        <v>14517911.0071649</v>
      </c>
    </row>
    <row r="36" customFormat="false" ht="15" hidden="false" customHeight="true" outlineLevel="0" collapsed="false">
      <c r="A36" s="16" t="s">
        <v>56</v>
      </c>
      <c r="B36" s="21" t="n">
        <f aca="false">SUMIF(Модель!$D$5:$AM$5,1,Модель!$D$58:$AM$58)</f>
        <v>297020.828749503</v>
      </c>
      <c r="C36" s="21" t="n">
        <f aca="false">SUMIF(Модель!$D$5:$AM$5,2,Модель!$D$58:$AM$58)</f>
        <v>1150161.92508518</v>
      </c>
      <c r="D36" s="21" t="n">
        <f aca="false">SUMIF(Модель!$D$5:$AM$5,3,Модель!$D$58:$AM$58)</f>
        <v>2182294.99795655</v>
      </c>
      <c r="E36" s="22" t="n">
        <f aca="false">SUM(B36:D36)</f>
        <v>3629477.75179124</v>
      </c>
    </row>
    <row r="37" customFormat="false" ht="15" hidden="false" customHeight="true" outlineLevel="0" collapsed="false">
      <c r="A37" s="19" t="s">
        <v>57</v>
      </c>
      <c r="B37" s="23" t="n">
        <f aca="false">SUMIF(Модель!$D$5:$AM$5,1,Модель!$D$59:$AM$59)</f>
        <v>891062.486248508</v>
      </c>
      <c r="C37" s="23" t="n">
        <f aca="false">SUMIF(Модель!$D$5:$AM$5,2,Модель!$D$59:$AM$59)</f>
        <v>3450485.77525555</v>
      </c>
      <c r="D37" s="23" t="n">
        <f aca="false">SUMIF(Модель!$D$5:$AM$5,3,Модель!$D$59:$AM$59)</f>
        <v>6546884.99386966</v>
      </c>
      <c r="E37" s="23" t="n">
        <f aca="false">SUM(B37:D37)</f>
        <v>10888433.2553737</v>
      </c>
    </row>
    <row r="39" customFormat="false" ht="15" hidden="false" customHeight="true" outlineLevel="0" collapsed="false">
      <c r="A39" s="16" t="s">
        <v>58</v>
      </c>
      <c r="B39" s="21" t="n">
        <f aca="false">SUMIF(Модель!$D$5:$AM$5,1,Модель!$D$69:$AM$69)</f>
        <v>934218.5</v>
      </c>
      <c r="C39" s="21" t="n">
        <f aca="false">SUMIF(Модель!$D$5:$AM$5,2,Модель!$D$69:$AM$69)</f>
        <v>2557745.5</v>
      </c>
      <c r="D39" s="21" t="n">
        <f aca="false">SUMIF(Модель!$D$5:$AM$5,3,Модель!$D$69:$AM$69)</f>
        <v>4267797</v>
      </c>
      <c r="E39" s="22" t="n">
        <f aca="false">SUM(B39:D39)</f>
        <v>7759761</v>
      </c>
    </row>
    <row r="41" customFormat="false" ht="15" hidden="false" customHeight="true" outlineLevel="0" collapsed="false">
      <c r="A41" s="16" t="s">
        <v>9</v>
      </c>
      <c r="B41" s="24" t="n">
        <f aca="false">IF(B16=0,0,B27/B16)</f>
        <v>0.377546250681789</v>
      </c>
      <c r="C41" s="24" t="n">
        <f aca="false">IF(C16=0,0,C27/C16)</f>
        <v>0.430334427981306</v>
      </c>
      <c r="D41" s="24" t="n">
        <f aca="false">IF(D16=0,0,D27/D16)</f>
        <v>0.452018979202389</v>
      </c>
      <c r="E41" s="24" t="n">
        <f aca="false">IF(E16=0,0,E27/E16)</f>
        <v>0.437499770577596</v>
      </c>
    </row>
    <row r="42" customFormat="false" ht="15" hidden="false" customHeight="true" outlineLevel="0" collapsed="false">
      <c r="A42" s="16" t="s">
        <v>12</v>
      </c>
      <c r="B42" s="24" t="n">
        <f aca="false">IF(B16=0,0,B35/B16)</f>
        <v>0.323043126006114</v>
      </c>
      <c r="C42" s="24" t="n">
        <f aca="false">IF(C16=0,0,C35/C16)</f>
        <v>0.3809367373098</v>
      </c>
      <c r="D42" s="24" t="n">
        <f aca="false">IF(D16=0,0,D35/D16)</f>
        <v>0.412791481451755</v>
      </c>
      <c r="E42" s="24" t="n">
        <f aca="false">IF(E16=0,0,E35/E16)</f>
        <v>0.393421332223166</v>
      </c>
    </row>
    <row r="43" customFormat="false" ht="15" hidden="false" customHeight="true" outlineLevel="0" collapsed="false">
      <c r="A43" s="12" t="s">
        <v>15</v>
      </c>
      <c r="B43" s="17" t="n">
        <f aca="false">INDEX(Модель!$D$15:$AM$15,12)</f>
        <v>3893.98254969496</v>
      </c>
      <c r="C43" s="17" t="n">
        <f aca="false">INDEX(Модель!$D$15:$AM$15,24)</f>
        <v>10187.600423941</v>
      </c>
      <c r="D43" s="17" t="n">
        <f aca="false">INDEX(Модель!$D$15:$AM$15,36)</f>
        <v>17004.9552600884</v>
      </c>
    </row>
    <row r="44" customFormat="false" ht="15" hidden="false" customHeight="true" outlineLevel="0" collapsed="false">
      <c r="A44" s="12" t="s">
        <v>16</v>
      </c>
      <c r="B44" s="17" t="n">
        <f aca="false">INDEX(Модель!$D$9:$AM$9,12)</f>
        <v>150</v>
      </c>
      <c r="C44" s="17" t="n">
        <f aca="false">INDEX(Модель!$D$9:$AM$9,24)</f>
        <v>294</v>
      </c>
      <c r="D44" s="17" t="n">
        <f aca="false">INDEX(Модель!$D$9:$AM$9,36)</f>
        <v>400</v>
      </c>
    </row>
    <row r="45" customFormat="false" ht="15" hidden="false" customHeight="true" outlineLevel="0" collapsed="false">
      <c r="A45" s="12" t="s">
        <v>17</v>
      </c>
      <c r="B45" s="21" t="n">
        <f aca="false">INDEX(Модель!$D$73:$AM$73,12)</f>
        <v>624408.9251829</v>
      </c>
      <c r="C45" s="21" t="n">
        <f aca="false">INDEX(Модель!$D$73:$AM$73,24)</f>
        <v>3804061.37969506</v>
      </c>
      <c r="D45" s="21" t="n">
        <f aca="false">INDEX(Модель!$D$73:$AM$73,36)</f>
        <v>10138854.010668</v>
      </c>
    </row>
    <row r="46" customFormat="false" ht="15" hidden="false" customHeight="true" outlineLevel="0" collapsed="false">
      <c r="A46" s="12" t="s">
        <v>59</v>
      </c>
      <c r="E46" s="21" t="n">
        <f aca="false">MIN(Модель!$C$73:$AM$73)</f>
        <v>-8323.23865712499</v>
      </c>
    </row>
    <row r="47" customFormat="false" ht="15" hidden="false" customHeight="true" outlineLevel="0" collapsed="false">
      <c r="A47" s="12" t="s">
        <v>60</v>
      </c>
      <c r="E47" s="25" t="n">
        <f aca="false">IFERROR(MATCH(TRUE(),INDEX(Модель!$D$57:$AM$57*12&gt;=1000000,0),0),"нет")</f>
        <v>7</v>
      </c>
    </row>
    <row r="48" customFormat="false" ht="15" hidden="false" customHeight="true" outlineLevel="0" collapsed="false">
      <c r="A48" s="12" t="s">
        <v>61</v>
      </c>
      <c r="E48" s="1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5" t="s">
        <v>3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5" t="s">
        <v>70</v>
      </c>
      <c r="H4" s="5" t="s">
        <v>71</v>
      </c>
      <c r="I4" s="5" t="s">
        <v>72</v>
      </c>
      <c r="J4" s="5" t="s">
        <v>73</v>
      </c>
      <c r="K4" s="5" t="s">
        <v>74</v>
      </c>
      <c r="L4" s="5" t="s">
        <v>75</v>
      </c>
      <c r="M4" s="5" t="s">
        <v>76</v>
      </c>
    </row>
    <row r="5" customFormat="false" ht="15" hidden="false" customHeight="false" outlineLevel="0" collapsed="false">
      <c r="A5" s="7" t="s">
        <v>77</v>
      </c>
      <c r="B5" s="10" t="n">
        <f aca="false">Модель!F9</f>
        <v>60</v>
      </c>
      <c r="C5" s="10" t="n">
        <f aca="false">Модель!I9</f>
        <v>90</v>
      </c>
      <c r="D5" s="10" t="n">
        <f aca="false">Модель!L9</f>
        <v>120</v>
      </c>
      <c r="E5" s="10" t="n">
        <f aca="false">Модель!O9</f>
        <v>150</v>
      </c>
      <c r="F5" s="10" t="n">
        <f aca="false">Модель!R9</f>
        <v>186</v>
      </c>
      <c r="G5" s="10" t="n">
        <f aca="false">Модель!U9</f>
        <v>222</v>
      </c>
      <c r="H5" s="10" t="n">
        <f aca="false">Модель!X9</f>
        <v>258</v>
      </c>
      <c r="I5" s="10" t="n">
        <f aca="false">Модель!AA9</f>
        <v>294</v>
      </c>
      <c r="J5" s="10" t="n">
        <f aca="false">Модель!AD9</f>
        <v>330</v>
      </c>
      <c r="K5" s="10" t="n">
        <f aca="false">Модель!AG9</f>
        <v>366</v>
      </c>
      <c r="L5" s="10" t="n">
        <f aca="false">Модель!AJ9</f>
        <v>400</v>
      </c>
      <c r="M5" s="10" t="n">
        <f aca="false">Модель!AM9</f>
        <v>400</v>
      </c>
    </row>
    <row r="6" customFormat="false" ht="15" hidden="false" customHeight="false" outlineLevel="0" collapsed="false">
      <c r="A6" s="7" t="s">
        <v>78</v>
      </c>
      <c r="B6" s="10" t="n">
        <f aca="false">SUM(Модель!D10:F10)</f>
        <v>1026.66666666667</v>
      </c>
      <c r="C6" s="10" t="n">
        <f aca="false">SUM(Модель!G10:I10)</f>
        <v>1920</v>
      </c>
      <c r="D6" s="10" t="n">
        <f aca="false">SUM(Модель!J10:L10)</f>
        <v>2640</v>
      </c>
      <c r="E6" s="10" t="n">
        <f aca="false">SUM(Модель!M10:O10)</f>
        <v>3360</v>
      </c>
      <c r="F6" s="10" t="n">
        <f aca="false">SUM(Модель!P10:R10)</f>
        <v>4176</v>
      </c>
      <c r="G6" s="10" t="n">
        <f aca="false">SUM(Модель!S10:U10)</f>
        <v>5040</v>
      </c>
      <c r="H6" s="10" t="n">
        <f aca="false">SUM(Модель!V10:X10)</f>
        <v>5904</v>
      </c>
      <c r="I6" s="10" t="n">
        <f aca="false">SUM(Модель!Y10:AA10)</f>
        <v>6768</v>
      </c>
      <c r="J6" s="10" t="n">
        <f aca="false">SUM(Модель!AB10:AD10)</f>
        <v>7632</v>
      </c>
      <c r="K6" s="10" t="n">
        <f aca="false">SUM(Модель!AE10:AG10)</f>
        <v>8496</v>
      </c>
      <c r="L6" s="10" t="n">
        <f aca="false">SUM(Модель!AH10:AJ10)</f>
        <v>9344</v>
      </c>
      <c r="M6" s="10" t="n">
        <f aca="false">SUM(Модель!AK10:AM10)</f>
        <v>9600</v>
      </c>
    </row>
    <row r="7" customFormat="false" ht="15" hidden="false" customHeight="false" outlineLevel="0" collapsed="false">
      <c r="A7" s="7" t="s">
        <v>79</v>
      </c>
      <c r="B7" s="26" t="n">
        <f aca="false">SUM(Модель!D11:F11)/1000000</f>
        <v>5.13333333333333</v>
      </c>
      <c r="C7" s="26" t="n">
        <f aca="false">SUM(Модель!G11:I11)/1000000</f>
        <v>9.6</v>
      </c>
      <c r="D7" s="26" t="n">
        <f aca="false">SUM(Модель!J11:L11)/1000000</f>
        <v>13.2</v>
      </c>
      <c r="E7" s="26" t="n">
        <f aca="false">SUM(Модель!M11:O11)/1000000</f>
        <v>16.8</v>
      </c>
      <c r="F7" s="26" t="n">
        <f aca="false">SUM(Модель!P11:R11)/1000000</f>
        <v>20.88</v>
      </c>
      <c r="G7" s="26" t="n">
        <f aca="false">SUM(Модель!S11:U11)/1000000</f>
        <v>25.2</v>
      </c>
      <c r="H7" s="26" t="n">
        <f aca="false">SUM(Модель!V11:X11)/1000000</f>
        <v>29.52</v>
      </c>
      <c r="I7" s="26" t="n">
        <f aca="false">SUM(Модель!Y11:AA11)/1000000</f>
        <v>33.84</v>
      </c>
      <c r="J7" s="26" t="n">
        <f aca="false">SUM(Модель!AB11:AD11)/1000000</f>
        <v>38.16</v>
      </c>
      <c r="K7" s="26" t="n">
        <f aca="false">SUM(Модель!AE11:AG11)/1000000</f>
        <v>42.48</v>
      </c>
      <c r="L7" s="26" t="n">
        <f aca="false">SUM(Модель!AH11:AJ11)/1000000</f>
        <v>46.72</v>
      </c>
      <c r="M7" s="26" t="n">
        <f aca="false">SUM(Модель!AK11:AM11)/1000000</f>
        <v>48</v>
      </c>
    </row>
    <row r="8" customFormat="false" ht="15" hidden="false" customHeight="false" outlineLevel="0" collapsed="false">
      <c r="A8" s="7" t="s">
        <v>30</v>
      </c>
      <c r="B8" s="10" t="n">
        <f aca="false">SUM(Модель!D12:F12)</f>
        <v>3470</v>
      </c>
      <c r="C8" s="10" t="n">
        <f aca="false">SUM(Модель!G12:I12)</f>
        <v>7488</v>
      </c>
      <c r="D8" s="10" t="n">
        <f aca="false">SUM(Модель!J12:L12)</f>
        <v>10296</v>
      </c>
      <c r="E8" s="10" t="n">
        <f aca="false">SUM(Модель!M12:O12)</f>
        <v>13104</v>
      </c>
      <c r="F8" s="10" t="n">
        <f aca="false">SUM(Модель!P12:R12)</f>
        <v>18439.2</v>
      </c>
      <c r="G8" s="10" t="n">
        <f aca="false">SUM(Модель!S12:U12)</f>
        <v>19656</v>
      </c>
      <c r="H8" s="10" t="n">
        <f aca="false">SUM(Модель!V12:X12)</f>
        <v>23025.6</v>
      </c>
      <c r="I8" s="10" t="n">
        <f aca="false">SUM(Модель!Y12:AA12)</f>
        <v>26395.2</v>
      </c>
      <c r="J8" s="10" t="n">
        <f aca="false">SUM(Модель!AB12:AD12)</f>
        <v>33714.72</v>
      </c>
      <c r="K8" s="10" t="n">
        <f aca="false">SUM(Модель!AE12:AG12)</f>
        <v>33134.4</v>
      </c>
      <c r="L8" s="10" t="n">
        <f aca="false">SUM(Модель!AH12:AJ12)</f>
        <v>36441.6</v>
      </c>
      <c r="M8" s="10" t="n">
        <f aca="false">SUM(Модель!AK12:AM12)</f>
        <v>37440</v>
      </c>
    </row>
    <row r="9" customFormat="false" ht="15" hidden="false" customHeight="false" outlineLevel="0" collapsed="false">
      <c r="A9" s="7" t="s">
        <v>80</v>
      </c>
      <c r="B9" s="10" t="n">
        <f aca="false">SUM(Модель!D13:F13)</f>
        <v>347</v>
      </c>
      <c r="C9" s="10" t="n">
        <f aca="false">SUM(Модель!G13:I13)</f>
        <v>748.8</v>
      </c>
      <c r="D9" s="10" t="n">
        <f aca="false">SUM(Модель!J13:L13)</f>
        <v>1029.6</v>
      </c>
      <c r="E9" s="10" t="n">
        <f aca="false">SUM(Модель!M13:O13)</f>
        <v>1310.4</v>
      </c>
      <c r="F9" s="10" t="n">
        <f aca="false">SUM(Модель!P13:R13)</f>
        <v>1843.92</v>
      </c>
      <c r="G9" s="10" t="n">
        <f aca="false">SUM(Модель!S13:U13)</f>
        <v>1965.6</v>
      </c>
      <c r="H9" s="10" t="n">
        <f aca="false">SUM(Модель!V13:X13)</f>
        <v>2302.56</v>
      </c>
      <c r="I9" s="10" t="n">
        <f aca="false">SUM(Модель!Y13:AA13)</f>
        <v>2639.52</v>
      </c>
      <c r="J9" s="10" t="n">
        <f aca="false">SUM(Модель!AB13:AD13)</f>
        <v>3371.472</v>
      </c>
      <c r="K9" s="10" t="n">
        <f aca="false">SUM(Модель!AE13:AG13)</f>
        <v>3313.44</v>
      </c>
      <c r="L9" s="10" t="n">
        <f aca="false">SUM(Модель!AH13:AJ13)</f>
        <v>3644.16</v>
      </c>
      <c r="M9" s="10" t="n">
        <f aca="false">SUM(Модель!AK13:AM13)</f>
        <v>3744</v>
      </c>
    </row>
    <row r="10" customFormat="false" ht="15" hidden="false" customHeight="false" outlineLevel="0" collapsed="false">
      <c r="A10" s="7" t="s">
        <v>32</v>
      </c>
      <c r="B10" s="10" t="n">
        <f aca="false">SUM(Модель!D16:F16)</f>
        <v>386.331</v>
      </c>
      <c r="C10" s="10" t="n">
        <f aca="false">SUM(Модель!G16:I16)</f>
        <v>2543.438799</v>
      </c>
      <c r="D10" s="10" t="n">
        <f aca="false">SUM(Модель!J16:L16)</f>
        <v>5650.302084471</v>
      </c>
      <c r="E10" s="10" t="n">
        <f aca="false">SUM(Модель!M16:O16)</f>
        <v>9170.80261957936</v>
      </c>
      <c r="F10" s="10" t="n">
        <f aca="false">SUM(Модель!P16:R16)</f>
        <v>13405.0450696734</v>
      </c>
      <c r="G10" s="10" t="n">
        <f aca="false">SUM(Модель!S16:U16)</f>
        <v>18182.7713757919</v>
      </c>
      <c r="H10" s="10" t="n">
        <f aca="false">SUM(Модель!V16:X16)</f>
        <v>22581.8719329523</v>
      </c>
      <c r="I10" s="10" t="n">
        <f aca="false">SUM(Модель!Y16:AA16)</f>
        <v>27295.5328791222</v>
      </c>
      <c r="J10" s="10" t="n">
        <f aca="false">SUM(Модель!AB16:AD16)</f>
        <v>32933.0250288801</v>
      </c>
      <c r="K10" s="10" t="n">
        <f aca="false">SUM(Модель!AE16:AG16)</f>
        <v>38926.6468140536</v>
      </c>
      <c r="L10" s="10" t="n">
        <f aca="false">SUM(Модель!AH16:AJ16)</f>
        <v>43731.0236874451</v>
      </c>
      <c r="M10" s="10" t="n">
        <f aca="false">SUM(Модель!AK16:AM16)</f>
        <v>48441.4441081475</v>
      </c>
    </row>
    <row r="11" customFormat="false" ht="15" hidden="false" customHeight="false" outlineLevel="0" collapsed="false">
      <c r="A11" s="7" t="s">
        <v>81</v>
      </c>
      <c r="B11" s="10" t="n">
        <f aca="false">Модель!F15</f>
        <v>533.9169</v>
      </c>
      <c r="C11" s="10" t="n">
        <f aca="false">Модель!I15</f>
        <v>1515.0930201</v>
      </c>
      <c r="D11" s="10" t="n">
        <f aca="false">Модель!L15</f>
        <v>2648.9028116529</v>
      </c>
      <c r="E11" s="10" t="n">
        <f aca="false">Модель!O15</f>
        <v>3893.98254969496</v>
      </c>
      <c r="F11" s="10" t="n">
        <f aca="false">Модель!R15</f>
        <v>5595.94604272763</v>
      </c>
      <c r="G11" s="10" t="n">
        <f aca="false">Модель!U15</f>
        <v>7020.90890514844</v>
      </c>
      <c r="H11" s="10" t="n">
        <f aca="false">Модель!X15</f>
        <v>8561.94571185321</v>
      </c>
      <c r="I11" s="10" t="n">
        <f aca="false">Модель!AA15</f>
        <v>10187.600423941</v>
      </c>
      <c r="J11" s="10" t="n">
        <f aca="false">Модель!AD15</f>
        <v>12457.226721053</v>
      </c>
      <c r="K11" s="10" t="n">
        <f aca="false">Модель!AG15</f>
        <v>14031.7380396476</v>
      </c>
      <c r="L11" s="10" t="n">
        <f aca="false">Модель!AJ15</f>
        <v>15671.4996709031</v>
      </c>
      <c r="M11" s="10" t="n">
        <f aca="false">Модель!AM15</f>
        <v>17004.9552600884</v>
      </c>
    </row>
    <row r="12" customFormat="false" ht="15" hidden="false" customHeight="false" outlineLevel="0" collapsed="false">
      <c r="A12" s="7" t="s">
        <v>33</v>
      </c>
      <c r="B12" s="10" t="n">
        <f aca="false">SUM(Модель!D18:F18)</f>
        <v>0</v>
      </c>
      <c r="C12" s="10" t="n">
        <f aca="false">SUM(Модель!G18:I18)</f>
        <v>1722.66666666667</v>
      </c>
      <c r="D12" s="10" t="n">
        <f aca="false">SUM(Модель!J18:L18)</f>
        <v>6384</v>
      </c>
      <c r="E12" s="10" t="n">
        <f aca="false">SUM(Модель!M18:O18)</f>
        <v>10619.7333333333</v>
      </c>
      <c r="F12" s="10" t="n">
        <f aca="false">SUM(Модель!P18:R18)</f>
        <v>12585.6</v>
      </c>
      <c r="G12" s="10" t="n">
        <f aca="false">SUM(Модель!S18:U18)</f>
        <v>14227.2</v>
      </c>
      <c r="H12" s="10" t="n">
        <f aca="false">SUM(Модель!V18:X18)</f>
        <v>15868.8</v>
      </c>
      <c r="I12" s="10" t="n">
        <f aca="false">SUM(Модель!Y18:AA18)</f>
        <v>17510.4</v>
      </c>
      <c r="J12" s="10" t="n">
        <f aca="false">SUM(Модель!AB18:AD18)</f>
        <v>19152</v>
      </c>
      <c r="K12" s="10" t="n">
        <f aca="false">SUM(Модель!AE18:AG18)</f>
        <v>20793.6</v>
      </c>
      <c r="L12" s="10" t="n">
        <f aca="false">SUM(Модель!AH18:AJ18)</f>
        <v>22435.2</v>
      </c>
      <c r="M12" s="10" t="n">
        <f aca="false">SUM(Модель!AK18:AM18)</f>
        <v>24076.8</v>
      </c>
    </row>
    <row r="13" customFormat="false" ht="15" hidden="false" customHeight="false" outlineLevel="0" collapsed="false">
      <c r="A13" s="3" t="s">
        <v>7</v>
      </c>
      <c r="B13" s="8" t="n">
        <f aca="false">SUM(Модель!D36:F36)</f>
        <v>218223.13645</v>
      </c>
      <c r="C13" s="8" t="n">
        <f aca="false">SUM(Модель!G36:I36)</f>
        <v>637454.11239705</v>
      </c>
      <c r="D13" s="8" t="n">
        <f aca="false">SUM(Модель!J36:L36)</f>
        <v>1149359.79621745</v>
      </c>
      <c r="E13" s="8" t="n">
        <f aca="false">SUM(Модель!M36:O36)</f>
        <v>1672748.42490252</v>
      </c>
      <c r="F13" s="8" t="n">
        <f aca="false">SUM(Модель!P36:R36)</f>
        <v>2304657.60313594</v>
      </c>
      <c r="G13" s="8" t="n">
        <f aca="false">SUM(Модель!S36:U36)</f>
        <v>2729552.9781061</v>
      </c>
      <c r="H13" s="8" t="n">
        <f aca="false">SUM(Модель!V36:X36)</f>
        <v>3250912.32617935</v>
      </c>
      <c r="I13" s="8" t="n">
        <f aca="false">SUM(Модель!Y36:AA36)</f>
        <v>3792073.25074074</v>
      </c>
      <c r="J13" s="8" t="n">
        <f aca="false">SUM(Модель!AB36:AD36)</f>
        <v>4612110.879168</v>
      </c>
      <c r="K13" s="8" t="n">
        <f aca="false">SUM(Модель!AE36:AG36)</f>
        <v>5013123.80894467</v>
      </c>
      <c r="L13" s="8" t="n">
        <f aca="false">SUM(Модель!AH36:AJ36)</f>
        <v>5556508.38912467</v>
      </c>
      <c r="M13" s="8" t="n">
        <f aca="false">SUM(Модель!AK36:AM36)</f>
        <v>5964962.66660788</v>
      </c>
    </row>
    <row r="14" customFormat="false" ht="15" hidden="false" customHeight="false" outlineLevel="0" collapsed="false">
      <c r="A14" s="7" t="s">
        <v>8</v>
      </c>
      <c r="B14" s="8" t="n">
        <f aca="false">SUM(Модель!D48:F48)</f>
        <v>63785.23573295</v>
      </c>
      <c r="C14" s="8" t="n">
        <f aca="false">SUM(Модель!G48:I48)</f>
        <v>223114.407316611</v>
      </c>
      <c r="D14" s="8" t="n">
        <f aca="false">SUM(Модель!J48:L48)</f>
        <v>434922.500943457</v>
      </c>
      <c r="E14" s="8" t="n">
        <f aca="false">SUM(Модель!M48:O48)</f>
        <v>666711.971004993</v>
      </c>
      <c r="F14" s="8" t="n">
        <f aca="false">SUM(Модель!P48:R48)</f>
        <v>941963.366380626</v>
      </c>
      <c r="G14" s="8" t="n">
        <f aca="false">SUM(Модель!S48:U48)</f>
        <v>1169520.85674489</v>
      </c>
      <c r="H14" s="8" t="n">
        <f aca="false">SUM(Модель!V48:X48)</f>
        <v>1416428.12597692</v>
      </c>
      <c r="I14" s="8" t="n">
        <f aca="false">SUM(Модель!Y48:AA48)</f>
        <v>1669320.95123829</v>
      </c>
      <c r="J14" s="8" t="n">
        <f aca="false">SUM(Модель!AB48:AD48)</f>
        <v>2025862.86003944</v>
      </c>
      <c r="K14" s="8" t="n">
        <f aca="false">SUM(Модель!AE48:AG48)</f>
        <v>2264742.93272261</v>
      </c>
      <c r="L14" s="8" t="n">
        <f aca="false">SUM(Модель!AH48:AJ48)</f>
        <v>2525473.52934956</v>
      </c>
      <c r="M14" s="8" t="n">
        <f aca="false">SUM(Модель!AK48:AM48)</f>
        <v>2742633.0217146</v>
      </c>
    </row>
    <row r="15" customFormat="false" ht="15" hidden="false" customHeight="false" outlineLevel="0" collapsed="false">
      <c r="A15" s="3" t="s">
        <v>11</v>
      </c>
      <c r="B15" s="8" t="n">
        <f aca="false">SUM(Модель!D57:F57)</f>
        <v>60935.23573295</v>
      </c>
      <c r="C15" s="8" t="n">
        <f aca="false">SUM(Модель!G57:I57)</f>
        <v>180003.607316611</v>
      </c>
      <c r="D15" s="8" t="n">
        <f aca="false">SUM(Модель!J57:L57)</f>
        <v>370838.900943457</v>
      </c>
      <c r="E15" s="8" t="n">
        <f aca="false">SUM(Модель!M57:O57)</f>
        <v>576305.571004993</v>
      </c>
      <c r="F15" s="8" t="n">
        <f aca="false">SUM(Модель!P57:R57)</f>
        <v>816508.646380626</v>
      </c>
      <c r="G15" s="8" t="n">
        <f aca="false">SUM(Модель!S57:U57)</f>
        <v>1028311.25674489</v>
      </c>
      <c r="H15" s="8" t="n">
        <f aca="false">SUM(Модель!V57:X57)</f>
        <v>1258051.16597692</v>
      </c>
      <c r="I15" s="8" t="n">
        <f aca="false">SUM(Модель!Y57:AA57)</f>
        <v>1497776.63123829</v>
      </c>
      <c r="J15" s="8" t="n">
        <f aca="false">SUM(Модель!AB57:AD57)</f>
        <v>1824216.10803944</v>
      </c>
      <c r="K15" s="8" t="n">
        <f aca="false">SUM(Модель!AE57:AG57)</f>
        <v>2065363.89272261</v>
      </c>
      <c r="L15" s="8" t="n">
        <f aca="false">SUM(Модель!AH57:AJ57)</f>
        <v>2313170.96934956</v>
      </c>
      <c r="M15" s="8" t="n">
        <f aca="false">SUM(Модель!AK57:AM57)</f>
        <v>2526429.0217146</v>
      </c>
    </row>
    <row r="16" customFormat="false" ht="15" hidden="false" customHeight="false" outlineLevel="0" collapsed="false">
      <c r="A16" s="7" t="s">
        <v>82</v>
      </c>
      <c r="B16" s="8" t="n">
        <f aca="false">SUM(Модель!D69:F69)</f>
        <v>75472.5</v>
      </c>
      <c r="C16" s="8" t="n">
        <f aca="false">SUM(Модель!G69:I69)</f>
        <v>182142.5</v>
      </c>
      <c r="D16" s="8" t="n">
        <f aca="false">SUM(Модель!J69:L69)</f>
        <v>286350.5</v>
      </c>
      <c r="E16" s="8" t="n">
        <f aca="false">SUM(Модель!M69:O69)</f>
        <v>390253</v>
      </c>
      <c r="F16" s="8" t="n">
        <f aca="false">SUM(Модель!P69:R69)</f>
        <v>493635.5</v>
      </c>
      <c r="G16" s="8" t="n">
        <f aca="false">SUM(Модель!S69:U69)</f>
        <v>577216</v>
      </c>
      <c r="H16" s="8" t="n">
        <f aca="false">SUM(Модель!V69:X69)</f>
        <v>680785</v>
      </c>
      <c r="I16" s="8" t="n">
        <f aca="false">SUM(Модель!Y69:AA69)</f>
        <v>806109</v>
      </c>
      <c r="J16" s="8" t="n">
        <f aca="false">SUM(Модель!AB69:AD69)</f>
        <v>936990</v>
      </c>
      <c r="K16" s="8" t="n">
        <f aca="false">SUM(Модель!AE69:AG69)</f>
        <v>1025493</v>
      </c>
      <c r="L16" s="8" t="n">
        <f aca="false">SUM(Модель!AH69:AJ69)</f>
        <v>1124077</v>
      </c>
      <c r="M16" s="8" t="n">
        <f aca="false">SUM(Модель!AK69:AM69)</f>
        <v>1181237</v>
      </c>
    </row>
    <row r="17" customFormat="false" ht="15" hidden="false" customHeight="false" outlineLevel="0" collapsed="false">
      <c r="A17" s="7" t="s">
        <v>83</v>
      </c>
      <c r="B17" s="8" t="n">
        <f aca="false">Модель!F73</f>
        <v>-246.782769287491</v>
      </c>
      <c r="C17" s="8" t="n">
        <f aca="false">Модель!I73</f>
        <v>60870.3410197544</v>
      </c>
      <c r="D17" s="8" t="n">
        <f aca="false">Модель!L73</f>
        <v>266721.674460234</v>
      </c>
      <c r="E17" s="8" t="n">
        <f aca="false">Модель!O73</f>
        <v>624408.9251829</v>
      </c>
      <c r="F17" s="8" t="n">
        <f aca="false">Модель!R73</f>
        <v>1171509.00617083</v>
      </c>
      <c r="G17" s="8" t="n">
        <f aca="false">Модель!U73</f>
        <v>1890211.1536117</v>
      </c>
      <c r="H17" s="8" t="n">
        <f aca="false">Модель!X73</f>
        <v>2766204.82265063</v>
      </c>
      <c r="I17" s="8" t="n">
        <f aca="false">Модель!AA73</f>
        <v>3804061.37969506</v>
      </c>
      <c r="J17" s="8" t="n">
        <f aca="false">Модель!AD73</f>
        <v>5096261.8816696</v>
      </c>
      <c r="K17" s="8" t="n">
        <f aca="false">Модель!AG73</f>
        <v>6593982.10835447</v>
      </c>
      <c r="L17" s="8" t="n">
        <f aca="false">Модель!AJ73</f>
        <v>8267030.44004261</v>
      </c>
      <c r="M17" s="8" t="n">
        <f aca="false">Модель!AM73</f>
        <v>10138854.010668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2" width="40"/>
    <col collapsed="false" customWidth="true" hidden="false" outlineLevel="0" max="10" min="2" style="12" width="15"/>
  </cols>
  <sheetData>
    <row r="1" customFormat="false" ht="17.25" hidden="false" customHeight="true" outlineLevel="0" collapsed="false">
      <c r="A1" s="13" t="s">
        <v>84</v>
      </c>
    </row>
    <row r="3" customFormat="false" ht="15" hidden="false" customHeight="true" outlineLevel="0" collapsed="false">
      <c r="A3" s="15" t="s">
        <v>85</v>
      </c>
      <c r="B3" s="15" t="s">
        <v>86</v>
      </c>
      <c r="C3" s="15" t="s">
        <v>87</v>
      </c>
      <c r="D3" s="15" t="s">
        <v>88</v>
      </c>
      <c r="E3" s="15" t="s">
        <v>89</v>
      </c>
      <c r="F3" s="15" t="s">
        <v>90</v>
      </c>
      <c r="G3" s="15" t="s">
        <v>91</v>
      </c>
      <c r="H3" s="15" t="s">
        <v>92</v>
      </c>
      <c r="I3" s="15" t="s">
        <v>93</v>
      </c>
      <c r="J3" s="15" t="s">
        <v>94</v>
      </c>
    </row>
    <row r="4" customFormat="false" ht="15" hidden="false" customHeight="true" outlineLevel="0" collapsed="false">
      <c r="A4" s="27" t="s">
        <v>95</v>
      </c>
      <c r="B4" s="28" t="n">
        <f aca="false">Допущения!$C$59</f>
        <v>39.95</v>
      </c>
      <c r="C4" s="28" t="n">
        <f aca="false">Допущения!$K$59*Допущения!$E$19</f>
        <v>7.97</v>
      </c>
      <c r="D4" s="28" t="n">
        <f aca="false">Допущения!$M$59*Допущения!$E$19</f>
        <v>7.67</v>
      </c>
      <c r="E4" s="28" t="n">
        <f aca="false">B4-C4-B4*(Допущения!$B$26+Допущения!$B$29+Допущения!$B$30)-Допущения!$D$59-Допущения!$B$39</f>
        <v>8.6005</v>
      </c>
      <c r="F4" s="24" t="n">
        <f aca="false">E4/B4</f>
        <v>0.215281602002503</v>
      </c>
      <c r="G4" s="28" t="n">
        <f aca="false">B4-C4-B4*(Допущения!$B$31+Допущения!$B$33)-Допущения!$B$32-Допущения!$D$59-Допущения!$B$39</f>
        <v>22.72245</v>
      </c>
      <c r="H4" s="24" t="n">
        <f aca="false">G4/B4</f>
        <v>0.568772215269086</v>
      </c>
      <c r="I4" s="28" t="n">
        <f aca="false">B4-C4-B4*(Допущения!$B$34+Допущения!$E$17)-Допущения!$E$59</f>
        <v>13.445</v>
      </c>
      <c r="J4" s="24" t="n">
        <f aca="false">I4/B4</f>
        <v>0.336545682102628</v>
      </c>
    </row>
    <row r="5" customFormat="false" ht="15" hidden="false" customHeight="true" outlineLevel="0" collapsed="false">
      <c r="A5" s="27" t="s">
        <v>96</v>
      </c>
      <c r="B5" s="28" t="n">
        <f aca="false">Допущения!$C$60</f>
        <v>34.95</v>
      </c>
      <c r="C5" s="28" t="n">
        <f aca="false">Допущения!$K$60*Допущения!$E$19</f>
        <v>7.44</v>
      </c>
      <c r="D5" s="28" t="n">
        <f aca="false">Допущения!$M$60*Допущения!$E$19</f>
        <v>6.94</v>
      </c>
      <c r="E5" s="28" t="n">
        <f aca="false">B5-C5-B5*(Допущения!$B$26+Допущения!$B$29+Допущения!$B$30)-Допущения!$D$60-Допущения!$B$39</f>
        <v>7.1805</v>
      </c>
      <c r="F5" s="24" t="n">
        <f aca="false">E5/B5</f>
        <v>0.205450643776824</v>
      </c>
      <c r="G5" s="28" t="n">
        <f aca="false">B5-C5-B5*(Допущения!$B$31+Допущения!$B$33)-Допущения!$B$32-Допущения!$D$60-Допущения!$B$39</f>
        <v>19.49745</v>
      </c>
      <c r="H5" s="24" t="n">
        <f aca="false">G5/B5</f>
        <v>0.5578669527897</v>
      </c>
      <c r="I5" s="28" t="n">
        <f aca="false">B5-C5-B5*(Допущения!$B$34+Допущения!$E$17)-Допущения!$E$60</f>
        <v>11.625</v>
      </c>
      <c r="J5" s="24" t="n">
        <f aca="false">I5/B5</f>
        <v>0.332618025751073</v>
      </c>
    </row>
    <row r="6" customFormat="false" ht="15" hidden="false" customHeight="true" outlineLevel="0" collapsed="false">
      <c r="A6" s="27" t="s">
        <v>97</v>
      </c>
      <c r="B6" s="28" t="n">
        <f aca="false">Допущения!$C$61</f>
        <v>29.95</v>
      </c>
      <c r="C6" s="28" t="n">
        <f aca="false">Допущения!$K$61*Допущения!$E$19</f>
        <v>4.61</v>
      </c>
      <c r="D6" s="28" t="n">
        <f aca="false">Допущения!$M$61*Допущения!$E$19</f>
        <v>4.11</v>
      </c>
      <c r="E6" s="28" t="n">
        <f aca="false">B6-C6-B6*(Допущения!$B$26+Допущения!$B$29+Допущения!$B$30)-Допущения!$D$61-Допущения!$B$39</f>
        <v>7.0605</v>
      </c>
      <c r="F6" s="24" t="n">
        <f aca="false">E6/B6</f>
        <v>0.235742904841402</v>
      </c>
      <c r="G6" s="28" t="n">
        <f aca="false">B6-C6-B6*(Допущения!$B$31+Допущения!$B$33)-Допущения!$B$32-Допущения!$D$61-Допущения!$B$39</f>
        <v>17.57245</v>
      </c>
      <c r="H6" s="24" t="n">
        <f aca="false">G6/B6</f>
        <v>0.586726210350584</v>
      </c>
      <c r="I6" s="28" t="n">
        <f aca="false">B6-C6-B6*(Допущения!$B$34+Допущения!$E$17)-Допущения!$E$61</f>
        <v>10.955</v>
      </c>
      <c r="J6" s="24" t="n">
        <f aca="false">I6/B6</f>
        <v>0.365776293823038</v>
      </c>
    </row>
    <row r="7" customFormat="false" ht="15" hidden="false" customHeight="true" outlineLevel="0" collapsed="false">
      <c r="A7" s="27" t="s">
        <v>98</v>
      </c>
      <c r="B7" s="28" t="n">
        <f aca="false">Допущения!$C$62</f>
        <v>29.95</v>
      </c>
      <c r="C7" s="28" t="n">
        <f aca="false">Допущения!$K$62*Допущения!$E$19</f>
        <v>6.35</v>
      </c>
      <c r="D7" s="28" t="n">
        <f aca="false">Допущения!$M$62*Допущения!$E$19</f>
        <v>6.05</v>
      </c>
      <c r="E7" s="28" t="n">
        <f aca="false">B7-C7-B7*(Допущения!$B$26+Допущения!$B$29+Допущения!$B$30)-Допущения!$D$62-Допущения!$B$39</f>
        <v>3.3205</v>
      </c>
      <c r="F7" s="24" t="n">
        <f aca="false">E7/B7</f>
        <v>0.110868113522538</v>
      </c>
      <c r="G7" s="28" t="n">
        <f aca="false">B7-C7-B7*(Допущения!$B$31+Допущения!$B$33)-Допущения!$B$32-Допущения!$D$62-Допущения!$B$39</f>
        <v>13.83245</v>
      </c>
      <c r="H7" s="24" t="n">
        <f aca="false">G7/B7</f>
        <v>0.46185141903172</v>
      </c>
      <c r="I7" s="28" t="n">
        <f aca="false">B7-C7-B7*(Допущения!$B$34+Допущения!$E$17)-Допущения!$E$62</f>
        <v>8.065</v>
      </c>
      <c r="J7" s="24" t="n">
        <f aca="false">I7/B7</f>
        <v>0.269282136894825</v>
      </c>
    </row>
    <row r="9" customFormat="false" ht="15" hidden="false" customHeight="true" outlineLevel="0" collapsed="false">
      <c r="A9" s="29" t="s">
        <v>99</v>
      </c>
    </row>
    <row r="10" customFormat="false" ht="15" hidden="false" customHeight="true" outlineLevel="0" collapsed="false">
      <c r="A10" s="15" t="s">
        <v>100</v>
      </c>
      <c r="B10" s="15" t="s">
        <v>101</v>
      </c>
      <c r="C10" s="15" t="s">
        <v>102</v>
      </c>
      <c r="D10" s="15" t="s">
        <v>89</v>
      </c>
      <c r="E10" s="15" t="s">
        <v>91</v>
      </c>
      <c r="F10" s="15" t="s">
        <v>103</v>
      </c>
    </row>
    <row r="11" customFormat="false" ht="15" hidden="false" customHeight="true" outlineLevel="0" collapsed="false">
      <c r="A11" s="12" t="str">
        <f aca="false">Допущения!A67</f>
        <v>Foundation: Colostrum + Magnesium</v>
      </c>
      <c r="B11" s="28" t="n">
        <f aca="false">Допущения!B67</f>
        <v>59.95</v>
      </c>
      <c r="C11" s="28" t="n">
        <f aca="false">Допущения!E67*Допущения!$K$59*Допущения!$E$19+Допущения!F67*Допущения!$K$60*Допущения!$E$19+Допущения!G67*Допущения!$K$61*Допущения!$E$19+Допущения!H67*Допущения!$K$62*Допущения!$E$19</f>
        <v>12.58</v>
      </c>
      <c r="D11" s="28" t="n">
        <f aca="false">B11-C11-B11*(Допущения!$B$26+Допущения!$B$29+Допущения!$B$30)-Допущения!C67-Допущения!$B$39</f>
        <v>14.7905</v>
      </c>
      <c r="E11" s="28" t="n">
        <f aca="false">B11-C11-B11*(Допущения!$B$31+Допущения!$B$33)-Допущения!$B$32-Допущения!C67-Допущения!$B$39</f>
        <v>36.13245</v>
      </c>
      <c r="F11" s="24" t="n">
        <f aca="false">Допущения!D67</f>
        <v>0.35</v>
      </c>
    </row>
    <row r="12" customFormat="false" ht="15" hidden="false" customHeight="true" outlineLevel="0" collapsed="false">
      <c r="A12" s="12" t="str">
        <f aca="false">Допущения!A68</f>
        <v>Gut Duo: Colostrum + Probiotic</v>
      </c>
      <c r="B12" s="28" t="n">
        <f aca="false">Допущения!B68</f>
        <v>64.95</v>
      </c>
      <c r="C12" s="28" t="n">
        <f aca="false">Допущения!E68*Допущения!$K$59*Допущения!$E$19+Допущения!F68*Допущения!$K$60*Допущения!$E$19+Допущения!G68*Допущения!$K$61*Допущения!$E$19+Допущения!H68*Допущения!$K$62*Допущения!$E$19</f>
        <v>15.41</v>
      </c>
      <c r="D12" s="28" t="n">
        <f aca="false">B12-C12-B12*(Допущения!$B$26+Допущения!$B$29+Допущения!$B$30)-Допущения!C68-Допущения!$B$39</f>
        <v>14.9105</v>
      </c>
      <c r="E12" s="28" t="n">
        <f aca="false">B12-C12-B12*(Допущения!$B$31+Допущения!$B$33)-Допущения!$B$32-Допущения!C68-Допущения!$B$39</f>
        <v>38.05745</v>
      </c>
      <c r="F12" s="24" t="n">
        <f aca="false">Допущения!D68</f>
        <v>0.1</v>
      </c>
    </row>
    <row r="13" customFormat="false" ht="15" hidden="false" customHeight="true" outlineLevel="0" collapsed="false">
      <c r="A13" s="12" t="str">
        <f aca="false">Допущения!A69</f>
        <v>The Daily Four</v>
      </c>
      <c r="B13" s="28" t="n">
        <f aca="false">Допущения!B69</f>
        <v>114.95</v>
      </c>
      <c r="C13" s="28" t="n">
        <f aca="false">Допущения!E69*Допущения!$K$59*Допущения!$E$19+Допущения!F69*Допущения!$K$60*Допущения!$E$19+Допущения!G69*Допущения!$K$61*Допущения!$E$19+Допущения!H69*Допущения!$K$62*Допущения!$E$19</f>
        <v>26.37</v>
      </c>
      <c r="D13" s="28" t="n">
        <f aca="false">B13-C13-B13*(Допущения!$B$26+Допущения!$B$29+Допущения!$B$30)-Допущения!C69-Допущения!$B$39</f>
        <v>30.4505</v>
      </c>
      <c r="E13" s="28" t="n">
        <f aca="false">B13-C13-B13*(Допущения!$B$31+Допущения!$B$33)-Допущения!$B$32-Допущения!C69-Допущения!$B$39</f>
        <v>71.64745</v>
      </c>
      <c r="F13" s="24" t="n">
        <f aca="false">Допущения!D69</f>
        <v>0.05</v>
      </c>
    </row>
    <row r="14" customFormat="false" ht="15" hidden="false" customHeight="true" outlineLevel="0" collapsed="false">
      <c r="A14" s="12" t="str">
        <f aca="false">Допущения!A70</f>
        <v>Colostrum</v>
      </c>
      <c r="B14" s="28" t="n">
        <f aca="false">Допущения!B70</f>
        <v>39.95</v>
      </c>
      <c r="C14" s="28" t="n">
        <f aca="false">Допущения!E70*Допущения!$K$59*Допущения!$E$19+Допущения!F70*Допущения!$K$60*Допущения!$E$19+Допущения!G70*Допущения!$K$61*Допущения!$E$19+Допущения!H70*Допущения!$K$62*Допущения!$E$19</f>
        <v>7.97</v>
      </c>
      <c r="D14" s="28" t="n">
        <f aca="false">B14-C14-B14*(Допущения!$B$26+Допущения!$B$29+Допущения!$B$30)-Допущения!C70-Допущения!$B$39</f>
        <v>8.6005</v>
      </c>
      <c r="E14" s="28" t="n">
        <f aca="false">B14-C14-B14*(Допущения!$B$31+Допущения!$B$33)-Допущения!$B$32-Допущения!C70-Допущения!$B$39</f>
        <v>22.72245</v>
      </c>
      <c r="F14" s="24" t="n">
        <f aca="false">Допущения!D70</f>
        <v>0.2</v>
      </c>
    </row>
    <row r="15" customFormat="false" ht="15" hidden="false" customHeight="true" outlineLevel="0" collapsed="false">
      <c r="A15" s="12" t="str">
        <f aca="false">Допущения!A71</f>
        <v>Women's Probiotic</v>
      </c>
      <c r="B15" s="28" t="n">
        <f aca="false">Допущения!B71</f>
        <v>34.95</v>
      </c>
      <c r="C15" s="28" t="n">
        <f aca="false">Допущения!E71*Допущения!$K$59*Допущения!$E$19+Допущения!F71*Допущения!$K$60*Допущения!$E$19+Допущения!G71*Допущения!$K$61*Допущения!$E$19+Допущения!H71*Допущения!$K$62*Допущения!$E$19</f>
        <v>7.44</v>
      </c>
      <c r="D15" s="28" t="n">
        <f aca="false">B15-C15-B15*(Допущения!$B$26+Допущения!$B$29+Допущения!$B$30)-Допущения!C71-Допущения!$B$39</f>
        <v>7.1805</v>
      </c>
      <c r="E15" s="28" t="n">
        <f aca="false">B15-C15-B15*(Допущения!$B$31+Допущения!$B$33)-Допущения!$B$32-Допущения!C71-Допущения!$B$39</f>
        <v>19.49745</v>
      </c>
      <c r="F15" s="24" t="n">
        <f aca="false">Допущения!D71</f>
        <v>0.12</v>
      </c>
    </row>
    <row r="16" customFormat="false" ht="15" hidden="false" customHeight="true" outlineLevel="0" collapsed="false">
      <c r="A16" s="12" t="str">
        <f aca="false">Допущения!A72</f>
        <v>Magnesium Glycinate</v>
      </c>
      <c r="B16" s="28" t="n">
        <f aca="false">Допущения!B72</f>
        <v>29.95</v>
      </c>
      <c r="C16" s="28" t="n">
        <f aca="false">Допущения!E72*Допущения!$K$59*Допущения!$E$19+Допущения!F72*Допущения!$K$60*Допущения!$E$19+Допущения!G72*Допущения!$K$61*Допущения!$E$19+Допущения!H72*Допущения!$K$62*Допущения!$E$19</f>
        <v>4.61</v>
      </c>
      <c r="D16" s="28" t="n">
        <f aca="false">B16-C16-B16*(Допущения!$B$26+Допущения!$B$29+Допущения!$B$30)-Допущения!C72-Допущения!$B$39</f>
        <v>7.0605</v>
      </c>
      <c r="E16" s="28" t="n">
        <f aca="false">B16-C16-B16*(Допущения!$B$31+Допущения!$B$33)-Допущения!$B$32-Допущения!C72-Допущения!$B$39</f>
        <v>17.57245</v>
      </c>
      <c r="F16" s="24" t="n">
        <f aca="false">Допущения!D72</f>
        <v>0.1</v>
      </c>
    </row>
    <row r="17" customFormat="false" ht="15" hidden="false" customHeight="true" outlineLevel="0" collapsed="false">
      <c r="A17" s="12" t="str">
        <f aca="false">Допущения!A73</f>
        <v>Creatine</v>
      </c>
      <c r="B17" s="28" t="n">
        <f aca="false">Допущения!B73</f>
        <v>29.95</v>
      </c>
      <c r="C17" s="28" t="n">
        <f aca="false">Допущения!E73*Допущения!$K$59*Допущения!$E$19+Допущения!F73*Допущения!$K$60*Допущения!$E$19+Допущения!G73*Допущения!$K$61*Допущения!$E$19+Допущения!H73*Допущения!$K$62*Допущения!$E$19</f>
        <v>6.35</v>
      </c>
      <c r="D17" s="28" t="n">
        <f aca="false">B17-C17-B17*(Допущения!$B$26+Допущения!$B$29+Допущения!$B$30)-Допущения!C73-Допущения!$B$39</f>
        <v>3.3205</v>
      </c>
      <c r="E17" s="28" t="n">
        <f aca="false">B17-C17-B17*(Допущения!$B$31+Допущения!$B$33)-Допущения!$B$32-Допущения!C73-Допущения!$B$39</f>
        <v>13.83245</v>
      </c>
      <c r="F17" s="24" t="n">
        <f aca="false">Допущения!D73</f>
        <v>0.08</v>
      </c>
    </row>
    <row r="18" customFormat="false" ht="15" hidden="false" customHeight="true" outlineLevel="0" collapsed="false">
      <c r="A18" s="27" t="s">
        <v>104</v>
      </c>
      <c r="B18" s="28" t="n">
        <f aca="false">SUMPRODUCT(B11:B17,F11:F17)</f>
        <v>50.8</v>
      </c>
      <c r="D18" s="28" t="n">
        <f aca="false">SUMPRODUCT(D11:D17,F11:F17)</f>
        <v>11.7437</v>
      </c>
      <c r="E18" s="28" t="n">
        <f aca="false">SUMPRODUCT(E11:E17,F11:F17)</f>
        <v>29.7825</v>
      </c>
    </row>
    <row r="20" customFormat="false" ht="15" hidden="false" customHeight="true" outlineLevel="0" collapsed="false">
      <c r="A20" s="29" t="s">
        <v>105</v>
      </c>
    </row>
    <row r="21" customFormat="false" ht="15" hidden="false" customHeight="true" outlineLevel="0" collapsed="false">
      <c r="A21" s="15" t="s">
        <v>106</v>
      </c>
      <c r="B21" s="15" t="s">
        <v>107</v>
      </c>
      <c r="C21" s="15" t="s">
        <v>102</v>
      </c>
      <c r="D21" s="15" t="s">
        <v>108</v>
      </c>
      <c r="E21" s="15" t="s">
        <v>109</v>
      </c>
      <c r="F21" s="15" t="s">
        <v>110</v>
      </c>
      <c r="G21" s="15" t="s">
        <v>111</v>
      </c>
      <c r="H21" s="15" t="s">
        <v>112</v>
      </c>
    </row>
    <row r="22" customFormat="false" ht="15" hidden="false" customHeight="true" outlineLevel="0" collapsed="false">
      <c r="A22" s="12" t="str">
        <f aca="false">Допущения!A78</f>
        <v>Foundation</v>
      </c>
      <c r="B22" s="28" t="n">
        <f aca="false">Допущения!B78</f>
        <v>54.95</v>
      </c>
      <c r="C22" s="28" t="n">
        <f aca="false">Допущения!E78*Допущения!$K$59*Допущения!$E$19+Допущения!F78*Допущения!$K$60*Допущения!$E$19+Допущения!G78*Допущения!$K$61*Допущения!$E$19+Допущения!H78*Допущения!$K$62*Допущения!$E$19</f>
        <v>12.58</v>
      </c>
      <c r="D22" s="28" t="n">
        <f aca="false">B22-C22-B22*(Допущения!$B$31+Допущения!$B$33)-Допущения!$B$32-Допущения!C78-Допущения!$B$39</f>
        <v>31.37745</v>
      </c>
      <c r="E22" s="22" t="n">
        <f aca="false">D22*12</f>
        <v>376.5294</v>
      </c>
      <c r="F22" s="24" t="n">
        <f aca="false">Допущения!D78</f>
        <v>0.6</v>
      </c>
      <c r="G22" s="30" t="n">
        <f aca="false">1/Допущения!$E$12</f>
        <v>10</v>
      </c>
      <c r="H22" s="22" t="n">
        <f aca="false">D22*G22</f>
        <v>313.7745</v>
      </c>
    </row>
    <row r="23" customFormat="false" ht="15" hidden="false" customHeight="true" outlineLevel="0" collapsed="false">
      <c r="A23" s="12" t="str">
        <f aca="false">Допущения!A79</f>
        <v>Gut Duo</v>
      </c>
      <c r="B23" s="28" t="n">
        <f aca="false">Допущения!B79</f>
        <v>59.95</v>
      </c>
      <c r="C23" s="28" t="n">
        <f aca="false">Допущения!E79*Допущения!$K$59*Допущения!$E$19+Допущения!F79*Допущения!$K$60*Допущения!$E$19+Допущения!G79*Допущения!$K$61*Допущения!$E$19+Допущения!H79*Допущения!$K$62*Допущения!$E$19</f>
        <v>15.41</v>
      </c>
      <c r="D23" s="28" t="n">
        <f aca="false">B23-C23-B23*(Допущения!$B$31+Допущения!$B$33)-Допущения!$B$32-Допущения!C79-Допущения!$B$39</f>
        <v>33.30245</v>
      </c>
      <c r="E23" s="22" t="n">
        <f aca="false">D23*12</f>
        <v>399.6294</v>
      </c>
      <c r="F23" s="24" t="n">
        <f aca="false">Допущения!D79</f>
        <v>0.25</v>
      </c>
      <c r="G23" s="30" t="n">
        <f aca="false">1/Допущения!$E$12</f>
        <v>10</v>
      </c>
      <c r="H23" s="22" t="n">
        <f aca="false">D23*G23</f>
        <v>333.0245</v>
      </c>
    </row>
    <row r="24" customFormat="false" ht="15" hidden="false" customHeight="true" outlineLevel="0" collapsed="false">
      <c r="A24" s="12" t="str">
        <f aca="false">Допущения!A80</f>
        <v>The Daily Four, креатин раз в 2 мес.</v>
      </c>
      <c r="B24" s="28" t="n">
        <f aca="false">Допущения!B80</f>
        <v>99.95</v>
      </c>
      <c r="C24" s="28" t="n">
        <f aca="false">Допущения!E80*Допущения!$K$59*Допущения!$E$19+Допущения!F80*Допущения!$K$60*Допущения!$E$19+Допущения!G80*Допущения!$K$61*Допущения!$E$19+Допущения!H80*Допущения!$K$62*Допущения!$E$19</f>
        <v>23.195</v>
      </c>
      <c r="D24" s="28" t="n">
        <f aca="false">B24-C24-B24*(Допущения!$B$31+Допущения!$B$33)-Допущения!$B$32-Допущения!C80-Допущения!$B$39</f>
        <v>61.55745</v>
      </c>
      <c r="E24" s="22" t="n">
        <f aca="false">D24*12</f>
        <v>738.6894</v>
      </c>
      <c r="F24" s="24" t="n">
        <f aca="false">Допущения!D80</f>
        <v>0.15</v>
      </c>
      <c r="G24" s="30" t="n">
        <f aca="false">1/Допущения!$E$12</f>
        <v>10</v>
      </c>
      <c r="H24" s="22" t="n">
        <f aca="false">D24*G24</f>
        <v>615.5745</v>
      </c>
    </row>
    <row r="25" customFormat="false" ht="15" hidden="false" customHeight="true" outlineLevel="0" collapsed="false">
      <c r="A25" s="27" t="s">
        <v>113</v>
      </c>
      <c r="B25" s="31" t="n">
        <f aca="false">SUMPRODUCT(B22:B24,F22:F24)</f>
        <v>62.95</v>
      </c>
      <c r="D25" s="31" t="n">
        <f aca="false">SUMPRODUCT(D22:D24,F22:F24)</f>
        <v>36.3857</v>
      </c>
      <c r="E25" s="32" t="n">
        <f aca="false">SUMPRODUCT(E22:E24,F22:F24)</f>
        <v>436.6284</v>
      </c>
      <c r="G25" s="30" t="n">
        <f aca="false">1/Допущения!$E$12</f>
        <v>10</v>
      </c>
      <c r="H25" s="32" t="n">
        <f aca="false">SUMPRODUCT(H22:H24,F22:F24)</f>
        <v>363.857</v>
      </c>
    </row>
    <row r="27" customFormat="false" ht="15" hidden="false" customHeight="true" outlineLevel="0" collapsed="false">
      <c r="A27" s="29" t="s">
        <v>114</v>
      </c>
    </row>
    <row r="28" customFormat="false" ht="15" hidden="false" customHeight="true" outlineLevel="0" collapsed="false">
      <c r="A28" s="12" t="s">
        <v>115</v>
      </c>
      <c r="B28" s="33" t="n">
        <f aca="false">Допущения!$B$23*Допущения!$E$8*Допущения!$E$6*Допущения!$E$7*(1+Допущения!$E$9)</f>
        <v>24</v>
      </c>
    </row>
    <row r="29" customFormat="false" ht="15" hidden="false" customHeight="true" outlineLevel="0" collapsed="false">
      <c r="A29" s="12" t="s">
        <v>116</v>
      </c>
      <c r="B29" s="22" t="n">
        <f aca="false">B28*Допущения!$B$74</f>
        <v>1219.2</v>
      </c>
    </row>
    <row r="30" customFormat="false" ht="15" hidden="false" customHeight="true" outlineLevel="0" collapsed="false">
      <c r="A30" s="12" t="s">
        <v>117</v>
      </c>
      <c r="B30" s="22" t="n">
        <f aca="false">B29*Допущения!$B$29</f>
        <v>365.76</v>
      </c>
    </row>
    <row r="31" customFormat="false" ht="15" hidden="false" customHeight="true" outlineLevel="0" collapsed="false">
      <c r="A31" s="12" t="s">
        <v>118</v>
      </c>
      <c r="B31" s="28" t="n">
        <f aca="false">B30/(Допущения!$B$23*Допущения!$E$8)</f>
        <v>45.72</v>
      </c>
    </row>
    <row r="32" customFormat="false" ht="15" hidden="false" customHeight="true" outlineLevel="0" collapsed="false">
      <c r="A32" s="12" t="s">
        <v>119</v>
      </c>
      <c r="B32" s="22" t="n">
        <f aca="false">B28*D18</f>
        <v>281.8488</v>
      </c>
    </row>
    <row r="33" customFormat="false" ht="15" hidden="false" customHeight="true" outlineLevel="0" collapsed="false">
      <c r="A33" s="12" t="s">
        <v>120</v>
      </c>
      <c r="B33" s="33" t="n">
        <f aca="false">B28*(1+Допущения!$E$10)*Допущения!$E$11</f>
        <v>3.96</v>
      </c>
    </row>
    <row r="34" customFormat="false" ht="15" hidden="false" customHeight="true" outlineLevel="0" collapsed="false">
      <c r="A34" s="12" t="s">
        <v>121</v>
      </c>
      <c r="B34" s="22" t="n">
        <f aca="false">B33*H25</f>
        <v>1440.87372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5" t="s">
        <v>3</v>
      </c>
      <c r="B4" s="5" t="s">
        <v>124</v>
      </c>
      <c r="C4" s="5" t="s">
        <v>125</v>
      </c>
      <c r="D4" s="5" t="s">
        <v>126</v>
      </c>
    </row>
    <row r="5" customFormat="false" ht="15" hidden="false" customHeight="false" outlineLevel="0" collapsed="false">
      <c r="A5" s="7" t="s">
        <v>127</v>
      </c>
      <c r="B5" s="34" t="n">
        <v>756747.267069612</v>
      </c>
      <c r="C5" s="34" t="n">
        <v>3677785.46996702</v>
      </c>
      <c r="D5" s="34" t="n">
        <v>11026826.1002304</v>
      </c>
    </row>
    <row r="6" customFormat="false" ht="15" hidden="false" customHeight="false" outlineLevel="0" collapsed="false">
      <c r="A6" s="7" t="s">
        <v>128</v>
      </c>
      <c r="B6" s="34" t="n">
        <v>130137.948414352</v>
      </c>
      <c r="C6" s="34" t="n">
        <v>1188083.31499801</v>
      </c>
      <c r="D6" s="34" t="n">
        <v>4299386.10553784</v>
      </c>
    </row>
    <row r="7" customFormat="false" ht="15" hidden="false" customHeight="false" outlineLevel="0" collapsed="false">
      <c r="A7" s="7" t="s">
        <v>129</v>
      </c>
      <c r="B7" s="34" t="n">
        <v>1943383.10268307</v>
      </c>
      <c r="C7" s="34" t="n">
        <v>12077196.1581621</v>
      </c>
      <c r="D7" s="34" t="n">
        <v>43391967.0483986</v>
      </c>
    </row>
    <row r="8" customFormat="false" ht="15" hidden="false" customHeight="false" outlineLevel="0" collapsed="false">
      <c r="A8" s="7" t="s">
        <v>130</v>
      </c>
      <c r="B8" s="34" t="n">
        <v>345631.749817878</v>
      </c>
      <c r="C8" s="34" t="n">
        <v>4600647.70034073</v>
      </c>
      <c r="D8" s="34" t="n">
        <v>19458257.0186396</v>
      </c>
    </row>
    <row r="9" customFormat="false" ht="15" hidden="false" customHeight="false" outlineLevel="0" collapsed="false">
      <c r="A9" s="7" t="s">
        <v>131</v>
      </c>
      <c r="B9" s="34" t="n">
        <v>2940438.66079094</v>
      </c>
      <c r="C9" s="34" t="n">
        <v>21146705.7438452</v>
      </c>
      <c r="D9" s="34" t="n">
        <v>72554175.6318973</v>
      </c>
    </row>
    <row r="10" customFormat="false" ht="15" hidden="false" customHeight="false" outlineLevel="0" collapsed="false">
      <c r="A10" s="7" t="s">
        <v>132</v>
      </c>
      <c r="B10" s="34" t="n">
        <v>676029.555443</v>
      </c>
      <c r="C10" s="34" t="n">
        <v>8729179.99182621</v>
      </c>
      <c r="D10" s="34" t="n">
        <v>35217566.3428852</v>
      </c>
    </row>
    <row r="11" customFormat="false" ht="15" hidden="false" customHeight="false" outlineLevel="0" collapsed="false">
      <c r="A11" s="7" t="s">
        <v>133</v>
      </c>
      <c r="B11" s="34" t="n">
        <v>863849.440256423</v>
      </c>
      <c r="C11" s="34" t="n">
        <v>10888433.2553737</v>
      </c>
      <c r="D11" s="34" t="n">
        <v>44231407.1002969</v>
      </c>
    </row>
    <row r="12" customFormat="false" ht="15" hidden="false" customHeight="false" outlineLevel="0" collapsed="false">
      <c r="A12" s="7" t="s">
        <v>134</v>
      </c>
      <c r="B12" s="35" t="n">
        <v>430.051744347047</v>
      </c>
      <c r="C12" s="35" t="n">
        <v>3893.98254969496</v>
      </c>
      <c r="D12" s="35" t="n">
        <v>16838.876333443</v>
      </c>
    </row>
    <row r="13" customFormat="false" ht="15" hidden="false" customHeight="false" outlineLevel="0" collapsed="false">
      <c r="A13" s="7" t="s">
        <v>135</v>
      </c>
      <c r="B13" s="35" t="n">
        <v>912.837764649367</v>
      </c>
      <c r="C13" s="35" t="n">
        <v>10187.600423941</v>
      </c>
      <c r="D13" s="35" t="n">
        <v>49988.8220073702</v>
      </c>
    </row>
    <row r="14" customFormat="false" ht="15" hidden="false" customHeight="false" outlineLevel="0" collapsed="false">
      <c r="A14" s="7" t="s">
        <v>136</v>
      </c>
      <c r="B14" s="35" t="n">
        <v>172</v>
      </c>
      <c r="C14" s="35" t="n">
        <v>294</v>
      </c>
      <c r="D14" s="35" t="n">
        <v>400</v>
      </c>
    </row>
    <row r="15" customFormat="false" ht="15" hidden="false" customHeight="false" outlineLevel="0" collapsed="false">
      <c r="A15" s="7" t="s">
        <v>137</v>
      </c>
      <c r="B15" s="34" t="n">
        <v>61633.2317169512</v>
      </c>
      <c r="C15" s="34" t="n">
        <v>624408.9251829</v>
      </c>
      <c r="D15" s="34" t="n">
        <v>2393394.36970706</v>
      </c>
    </row>
    <row r="16" customFormat="false" ht="15" hidden="false" customHeight="false" outlineLevel="0" collapsed="false">
      <c r="A16" s="7" t="s">
        <v>18</v>
      </c>
      <c r="B16" s="34" t="n">
        <v>245</v>
      </c>
      <c r="C16" s="34" t="n">
        <v>-8323.238657125</v>
      </c>
      <c r="D16" s="34" t="n">
        <v>-42794.0274541867</v>
      </c>
    </row>
    <row r="17" customFormat="false" ht="15" hidden="false" customHeight="false" outlineLevel="0" collapsed="false">
      <c r="A17" s="7" t="s">
        <v>138</v>
      </c>
      <c r="B17" s="7" t="s">
        <v>139</v>
      </c>
      <c r="C17" s="7" t="n">
        <v>7</v>
      </c>
      <c r="D17" s="7" t="n">
        <v>3</v>
      </c>
    </row>
    <row r="18" customFormat="false" ht="15" hidden="false" customHeight="false" outlineLevel="0" collapsed="false">
      <c r="A18" s="7" t="s">
        <v>140</v>
      </c>
      <c r="B18" s="7" t="n">
        <v>6</v>
      </c>
      <c r="C18" s="7" t="n">
        <v>2</v>
      </c>
      <c r="D18" s="7" t="n">
        <v>2</v>
      </c>
    </row>
    <row r="20" customFormat="false" ht="15" hidden="false" customHeight="false" outlineLevel="0" collapsed="false">
      <c r="A20" s="11" t="s">
        <v>141</v>
      </c>
    </row>
    <row r="21" customFormat="false" ht="15" hidden="false" customHeight="false" outlineLevel="0" collapsed="false">
      <c r="A21" s="5" t="s">
        <v>142</v>
      </c>
      <c r="B21" s="5" t="s">
        <v>124</v>
      </c>
      <c r="C21" s="5" t="s">
        <v>125</v>
      </c>
      <c r="D21" s="5" t="s">
        <v>126</v>
      </c>
    </row>
    <row r="22" customFormat="false" ht="15" hidden="false" customHeight="false" outlineLevel="0" collapsed="false">
      <c r="A22" s="7" t="s">
        <v>143</v>
      </c>
      <c r="B22" s="7" t="s">
        <v>144</v>
      </c>
      <c r="C22" s="7" t="s">
        <v>145</v>
      </c>
      <c r="D22" s="7" t="s">
        <v>146</v>
      </c>
    </row>
    <row r="23" customFormat="false" ht="15" hidden="false" customHeight="false" outlineLevel="0" collapsed="false">
      <c r="A23" s="7" t="s">
        <v>147</v>
      </c>
      <c r="B23" s="7" t="s">
        <v>148</v>
      </c>
      <c r="C23" s="7" t="s">
        <v>149</v>
      </c>
      <c r="D23" s="7" t="s">
        <v>150</v>
      </c>
    </row>
    <row r="24" customFormat="false" ht="15" hidden="false" customHeight="false" outlineLevel="0" collapsed="false">
      <c r="A24" s="7" t="s">
        <v>151</v>
      </c>
      <c r="B24" s="7" t="s">
        <v>152</v>
      </c>
      <c r="C24" s="7" t="s">
        <v>153</v>
      </c>
      <c r="D24" s="7" t="s">
        <v>153</v>
      </c>
    </row>
    <row r="25" customFormat="false" ht="15" hidden="false" customHeight="false" outlineLevel="0" collapsed="false">
      <c r="A25" s="7" t="s">
        <v>154</v>
      </c>
      <c r="B25" s="7" t="s">
        <v>155</v>
      </c>
      <c r="C25" s="7" t="s">
        <v>156</v>
      </c>
      <c r="D25" s="7" t="s">
        <v>157</v>
      </c>
    </row>
    <row r="26" customFormat="false" ht="15" hidden="false" customHeight="false" outlineLevel="0" collapsed="false">
      <c r="A26" s="7" t="s">
        <v>158</v>
      </c>
      <c r="B26" s="7" t="s">
        <v>155</v>
      </c>
      <c r="C26" s="7" t="s">
        <v>159</v>
      </c>
      <c r="D26" s="7" t="s">
        <v>160</v>
      </c>
    </row>
    <row r="27" customFormat="false" ht="15" hidden="false" customHeight="false" outlineLevel="0" collapsed="false">
      <c r="A27" s="7" t="s">
        <v>161</v>
      </c>
      <c r="B27" s="7" t="s">
        <v>162</v>
      </c>
      <c r="C27" s="7" t="s">
        <v>163</v>
      </c>
      <c r="D27" s="7" t="s">
        <v>164</v>
      </c>
    </row>
    <row r="28" customFormat="false" ht="15" hidden="false" customHeight="false" outlineLevel="0" collapsed="false">
      <c r="A28" s="7" t="s">
        <v>165</v>
      </c>
      <c r="B28" s="7" t="s">
        <v>166</v>
      </c>
      <c r="C28" s="7" t="s">
        <v>167</v>
      </c>
      <c r="D28" s="7" t="s">
        <v>168</v>
      </c>
    </row>
    <row r="29" customFormat="false" ht="15" hidden="false" customHeight="false" outlineLevel="0" collapsed="false">
      <c r="A29" s="7" t="s">
        <v>169</v>
      </c>
      <c r="B29" s="7" t="s">
        <v>170</v>
      </c>
      <c r="C29" s="7" t="s">
        <v>171</v>
      </c>
      <c r="D29" s="7" t="s">
        <v>172</v>
      </c>
    </row>
    <row r="30" customFormat="false" ht="15" hidden="false" customHeight="false" outlineLevel="0" collapsed="false">
      <c r="A30" s="7" t="s">
        <v>173</v>
      </c>
      <c r="B30" s="7" t="s">
        <v>174</v>
      </c>
      <c r="C30" s="7" t="s">
        <v>175</v>
      </c>
      <c r="D30" s="7" t="s">
        <v>175</v>
      </c>
    </row>
    <row r="32" customFormat="false" ht="15" hidden="false" customHeight="false" outlineLevel="0" collapsed="false">
      <c r="A32" s="11" t="s">
        <v>176</v>
      </c>
    </row>
    <row r="33" customFormat="false" ht="15" hidden="false" customHeight="false" outlineLevel="0" collapsed="false">
      <c r="A33" s="5" t="s">
        <v>177</v>
      </c>
      <c r="B33" s="5" t="s">
        <v>178</v>
      </c>
      <c r="C33" s="5" t="s">
        <v>179</v>
      </c>
      <c r="D33" s="5" t="s">
        <v>128</v>
      </c>
    </row>
    <row r="34" customFormat="false" ht="15" hidden="false" customHeight="false" outlineLevel="0" collapsed="false">
      <c r="A34" s="36" t="s">
        <v>180</v>
      </c>
      <c r="B34" s="37" t="n">
        <v>-8323.238657125</v>
      </c>
      <c r="C34" s="36" t="n">
        <v>2</v>
      </c>
      <c r="D34" s="37" t="n">
        <v>1188083.31499801</v>
      </c>
    </row>
    <row r="35" customFormat="false" ht="15" hidden="false" customHeight="false" outlineLevel="0" collapsed="false">
      <c r="A35" s="36" t="s">
        <v>181</v>
      </c>
      <c r="B35" s="37" t="n">
        <v>-1157.738657125</v>
      </c>
      <c r="C35" s="36" t="n">
        <v>2</v>
      </c>
      <c r="D35" s="37" t="n">
        <v>1188083.31499801</v>
      </c>
    </row>
    <row r="36" customFormat="false" ht="15" hidden="false" customHeight="false" outlineLevel="0" collapsed="false">
      <c r="A36" s="7" t="s">
        <v>182</v>
      </c>
      <c r="B36" s="34" t="n">
        <v>245</v>
      </c>
      <c r="C36" s="7" t="n">
        <v>0</v>
      </c>
      <c r="D36" s="34" t="n">
        <v>1188083.31499801</v>
      </c>
    </row>
    <row r="37" customFormat="false" ht="15" hidden="false" customHeight="false" outlineLevel="0" collapsed="false">
      <c r="A37" s="7" t="s">
        <v>183</v>
      </c>
      <c r="B37" s="34" t="n">
        <v>245</v>
      </c>
      <c r="C37" s="7" t="n">
        <v>0</v>
      </c>
      <c r="D37" s="34" t="n">
        <v>1188083.31499801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7"/>
  </cols>
  <sheetData>
    <row r="1" customFormat="false" ht="17.35" hidden="false" customHeight="false" outlineLevel="0" collapsed="false">
      <c r="A1" s="1" t="s">
        <v>184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11" t="s">
        <v>185</v>
      </c>
    </row>
    <row r="5" customFormat="false" ht="15" hidden="false" customHeight="false" outlineLevel="0" collapsed="false">
      <c r="A5" s="5" t="s">
        <v>142</v>
      </c>
      <c r="B5" s="5" t="s">
        <v>186</v>
      </c>
      <c r="C5" s="5" t="s">
        <v>187</v>
      </c>
      <c r="D5" s="5" t="s">
        <v>188</v>
      </c>
      <c r="E5" s="5" t="s">
        <v>189</v>
      </c>
      <c r="F5" s="5" t="s">
        <v>190</v>
      </c>
      <c r="G5" s="5" t="s">
        <v>191</v>
      </c>
      <c r="H5" s="5" t="s">
        <v>192</v>
      </c>
    </row>
    <row r="6" customFormat="false" ht="15" hidden="false" customHeight="false" outlineLevel="0" collapsed="false">
      <c r="A6" s="7" t="s">
        <v>193</v>
      </c>
      <c r="B6" s="38" t="n">
        <v>0.0003</v>
      </c>
      <c r="C6" s="38" t="n">
        <v>0.0007</v>
      </c>
      <c r="D6" s="34" t="n">
        <v>754570.913315727</v>
      </c>
      <c r="E6" s="34" t="n">
        <v>1630402.8583462</v>
      </c>
      <c r="F6" s="34" t="n">
        <v>2892576.16817556</v>
      </c>
      <c r="G6" s="34" t="n">
        <v>6294933.276628</v>
      </c>
      <c r="H6" s="34" t="n">
        <v>3402357.10845245</v>
      </c>
    </row>
    <row r="7" customFormat="false" ht="15" hidden="false" customHeight="false" outlineLevel="0" collapsed="false">
      <c r="A7" s="7" t="s">
        <v>143</v>
      </c>
      <c r="B7" s="35" t="n">
        <v>3500</v>
      </c>
      <c r="C7" s="35" t="n">
        <v>7000</v>
      </c>
      <c r="D7" s="34" t="n">
        <v>860953.763711704</v>
      </c>
      <c r="E7" s="34" t="n">
        <v>1630402.8583462</v>
      </c>
      <c r="F7" s="34" t="n">
        <v>3322165.86079103</v>
      </c>
      <c r="G7" s="34" t="n">
        <v>6294933.276628</v>
      </c>
      <c r="H7" s="34" t="n">
        <v>2972767.41583698</v>
      </c>
    </row>
    <row r="8" customFormat="false" ht="15" hidden="false" customHeight="false" outlineLevel="0" collapsed="false">
      <c r="A8" s="7" t="s">
        <v>194</v>
      </c>
      <c r="B8" s="35" t="n">
        <v>5</v>
      </c>
      <c r="C8" s="35" t="n">
        <v>15</v>
      </c>
      <c r="D8" s="34" t="n">
        <v>952202.308498615</v>
      </c>
      <c r="E8" s="34" t="n">
        <v>1424715.49818353</v>
      </c>
      <c r="F8" s="34" t="n">
        <v>3553357.70317888</v>
      </c>
      <c r="G8" s="34" t="n">
        <v>5644751.34857072</v>
      </c>
      <c r="H8" s="34" t="n">
        <v>2091393.64539184</v>
      </c>
    </row>
    <row r="9" customFormat="false" ht="15" hidden="false" customHeight="false" outlineLevel="0" collapsed="false">
      <c r="A9" s="7" t="s">
        <v>151</v>
      </c>
      <c r="B9" s="39" t="n">
        <v>0.6</v>
      </c>
      <c r="C9" s="39" t="n">
        <v>1</v>
      </c>
      <c r="D9" s="34" t="n">
        <v>754570.913315726</v>
      </c>
      <c r="E9" s="34" t="n">
        <v>1188083.31499801</v>
      </c>
      <c r="F9" s="34" t="n">
        <v>2892576.16817556</v>
      </c>
      <c r="G9" s="34" t="n">
        <v>4600647.70034073</v>
      </c>
      <c r="H9" s="34" t="n">
        <v>1708071.53216517</v>
      </c>
    </row>
    <row r="10" customFormat="false" ht="15" hidden="false" customHeight="false" outlineLevel="0" collapsed="false">
      <c r="A10" s="7" t="s">
        <v>154</v>
      </c>
      <c r="B10" s="39" t="n">
        <v>0.12</v>
      </c>
      <c r="C10" s="39" t="n">
        <v>0.2</v>
      </c>
      <c r="D10" s="34" t="n">
        <v>1052786.44322004</v>
      </c>
      <c r="E10" s="34" t="n">
        <v>1409732.90250014</v>
      </c>
      <c r="F10" s="34" t="n">
        <v>3972667.0714101</v>
      </c>
      <c r="G10" s="34" t="n">
        <v>5651050.10803049</v>
      </c>
      <c r="H10" s="34" t="n">
        <v>1678383.0366204</v>
      </c>
    </row>
    <row r="11" customFormat="false" ht="15" hidden="false" customHeight="false" outlineLevel="0" collapsed="false">
      <c r="A11" s="7" t="s">
        <v>195</v>
      </c>
      <c r="B11" s="35" t="n">
        <v>6</v>
      </c>
      <c r="C11" s="35" t="n">
        <v>18</v>
      </c>
      <c r="D11" s="34" t="n">
        <v>1188083.31499801</v>
      </c>
      <c r="E11" s="34" t="n">
        <v>1188083.31499801</v>
      </c>
      <c r="F11" s="34" t="n">
        <v>4145540.92710298</v>
      </c>
      <c r="G11" s="34" t="n">
        <v>5059627.95329368</v>
      </c>
      <c r="H11" s="34" t="n">
        <v>914087.026190696</v>
      </c>
    </row>
    <row r="12" customFormat="false" ht="15" hidden="false" customHeight="false" outlineLevel="0" collapsed="false">
      <c r="A12" s="7" t="s">
        <v>196</v>
      </c>
      <c r="B12" s="39" t="n">
        <v>0.1</v>
      </c>
      <c r="C12" s="39" t="n">
        <v>0.3</v>
      </c>
      <c r="D12" s="34" t="n">
        <v>1095859.2549324</v>
      </c>
      <c r="E12" s="34" t="n">
        <v>1276662.21972404</v>
      </c>
      <c r="F12" s="34" t="n">
        <v>4247419.99308998</v>
      </c>
      <c r="G12" s="34" t="n">
        <v>4958997.09241201</v>
      </c>
      <c r="H12" s="34" t="n">
        <v>711577.099322034</v>
      </c>
    </row>
    <row r="13" customFormat="false" ht="15" hidden="false" customHeight="false" outlineLevel="0" collapsed="false">
      <c r="A13" s="7" t="s">
        <v>197</v>
      </c>
      <c r="B13" s="35" t="n">
        <v>2</v>
      </c>
      <c r="C13" s="35" t="n">
        <v>4</v>
      </c>
      <c r="D13" s="34" t="n">
        <v>1107948.5591795</v>
      </c>
      <c r="E13" s="34" t="n">
        <v>1264924.95148106</v>
      </c>
      <c r="F13" s="34" t="n">
        <v>4254976.6717741</v>
      </c>
      <c r="G13" s="34" t="n">
        <v>4952828.68208978</v>
      </c>
      <c r="H13" s="34" t="n">
        <v>697852.010315677</v>
      </c>
    </row>
    <row r="14" customFormat="false" ht="15" hidden="false" customHeight="false" outlineLevel="0" collapsed="false">
      <c r="A14" s="7" t="s">
        <v>158</v>
      </c>
      <c r="B14" s="39" t="n">
        <v>0.12</v>
      </c>
      <c r="C14" s="39" t="n">
        <v>0.08</v>
      </c>
      <c r="D14" s="34" t="n">
        <v>1156405.16640844</v>
      </c>
      <c r="E14" s="34" t="n">
        <v>1220556.94271061</v>
      </c>
      <c r="F14" s="34" t="n">
        <v>4331392.53000661</v>
      </c>
      <c r="G14" s="34" t="n">
        <v>4920566.36572018</v>
      </c>
      <c r="H14" s="34" t="n">
        <v>589173.835713568</v>
      </c>
    </row>
    <row r="15" customFormat="false" ht="15" hidden="false" customHeight="false" outlineLevel="0" collapsed="false">
      <c r="A15" s="7" t="s">
        <v>198</v>
      </c>
      <c r="B15" s="35" t="n">
        <v>13</v>
      </c>
      <c r="C15" s="35" t="n">
        <v>45</v>
      </c>
      <c r="D15" s="34" t="n">
        <v>1077048.06153329</v>
      </c>
      <c r="E15" s="34" t="n">
        <v>1282787.87942219</v>
      </c>
      <c r="F15" s="34" t="n">
        <v>4304478.68928106</v>
      </c>
      <c r="G15" s="34" t="n">
        <v>4869139.13965851</v>
      </c>
      <c r="H15" s="34" t="n">
        <v>564660.450377446</v>
      </c>
    </row>
    <row r="16" customFormat="false" ht="15" hidden="false" customHeight="false" outlineLevel="0" collapsed="false">
      <c r="A16" s="7" t="s">
        <v>199</v>
      </c>
      <c r="B16" s="39" t="n">
        <v>0.35</v>
      </c>
      <c r="C16" s="39" t="n">
        <v>0.25</v>
      </c>
      <c r="D16" s="34" t="n">
        <v>1100813.99499801</v>
      </c>
      <c r="E16" s="34" t="n">
        <v>1275352.63499801</v>
      </c>
      <c r="F16" s="34" t="n">
        <v>4378357.06034073</v>
      </c>
      <c r="G16" s="34" t="n">
        <v>4822938.34034073</v>
      </c>
      <c r="H16" s="34" t="n">
        <v>444581.28</v>
      </c>
    </row>
    <row r="17" customFormat="false" ht="15" hidden="false" customHeight="false" outlineLevel="0" collapsed="false">
      <c r="A17" s="7" t="s">
        <v>173</v>
      </c>
      <c r="B17" s="40" t="n">
        <v>1.1</v>
      </c>
      <c r="C17" s="40" t="n">
        <v>0.95</v>
      </c>
      <c r="D17" s="34" t="n">
        <v>1111419.24110457</v>
      </c>
      <c r="E17" s="34" t="n">
        <v>1226415.35194473</v>
      </c>
      <c r="F17" s="34" t="n">
        <v>4363270.06833507</v>
      </c>
      <c r="G17" s="34" t="n">
        <v>4719336.51634356</v>
      </c>
      <c r="H17" s="34" t="n">
        <v>356066.448008493</v>
      </c>
    </row>
    <row r="18" customFormat="false" ht="15" hidden="false" customHeight="false" outlineLevel="0" collapsed="false">
      <c r="A18" s="7" t="s">
        <v>200</v>
      </c>
      <c r="B18" s="39" t="n">
        <v>0.2</v>
      </c>
      <c r="C18" s="39" t="n">
        <v>0.12</v>
      </c>
      <c r="D18" s="34" t="n">
        <v>1156061.17099801</v>
      </c>
      <c r="E18" s="34" t="n">
        <v>1207296.60139801</v>
      </c>
      <c r="F18" s="34" t="n">
        <v>4497719.38034073</v>
      </c>
      <c r="G18" s="34" t="n">
        <v>4662404.69234073</v>
      </c>
      <c r="H18" s="34" t="n">
        <v>164685.312</v>
      </c>
    </row>
    <row r="20" customFormat="false" ht="15" hidden="false" customHeight="false" outlineLevel="0" collapsed="false">
      <c r="A20" s="11" t="s">
        <v>201</v>
      </c>
    </row>
    <row r="21" customFormat="false" ht="15" hidden="false" customHeight="false" outlineLevel="0" collapsed="false">
      <c r="A21" s="5" t="s">
        <v>202</v>
      </c>
      <c r="B21" s="5" t="s">
        <v>128</v>
      </c>
      <c r="C21" s="5" t="s">
        <v>130</v>
      </c>
      <c r="D21" s="5" t="s">
        <v>132</v>
      </c>
      <c r="E21" s="5" t="s">
        <v>178</v>
      </c>
      <c r="F21" s="5" t="s">
        <v>203</v>
      </c>
    </row>
    <row r="22" customFormat="false" ht="15" hidden="false" customHeight="false" outlineLevel="0" collapsed="false">
      <c r="A22" s="41" t="s">
        <v>204</v>
      </c>
      <c r="B22" s="42" t="n">
        <v>1188083.31499801</v>
      </c>
      <c r="C22" s="42" t="n">
        <v>4600647.70034073</v>
      </c>
      <c r="D22" s="42" t="n">
        <v>8729179.99182621</v>
      </c>
      <c r="E22" s="42" t="n">
        <v>-8323.238657125</v>
      </c>
      <c r="F22" s="41" t="n">
        <v>7</v>
      </c>
    </row>
    <row r="23" customFormat="false" ht="15" hidden="false" customHeight="false" outlineLevel="0" collapsed="false">
      <c r="A23" s="7" t="s">
        <v>205</v>
      </c>
      <c r="B23" s="34" t="n">
        <v>964428.113638577</v>
      </c>
      <c r="C23" s="34" t="n">
        <v>4478670.45678653</v>
      </c>
      <c r="D23" s="34" t="n">
        <v>8694880.24068993</v>
      </c>
      <c r="E23" s="34" t="n">
        <v>-8323.238657125</v>
      </c>
      <c r="F23" s="7" t="n">
        <v>8</v>
      </c>
    </row>
    <row r="24" customFormat="false" ht="15" hidden="false" customHeight="false" outlineLevel="0" collapsed="false">
      <c r="A24" s="7" t="s">
        <v>206</v>
      </c>
      <c r="B24" s="34" t="n">
        <v>1145351.42130868</v>
      </c>
      <c r="C24" s="34" t="n">
        <v>4600647.70034073</v>
      </c>
      <c r="D24" s="34" t="n">
        <v>8729179.99182621</v>
      </c>
      <c r="E24" s="34" t="n">
        <v>-8323.238657125</v>
      </c>
      <c r="F24" s="7" t="n">
        <v>7</v>
      </c>
    </row>
    <row r="25" customFormat="false" ht="15" hidden="false" customHeight="false" outlineLevel="0" collapsed="false">
      <c r="A25" s="7" t="s">
        <v>207</v>
      </c>
      <c r="B25" s="34" t="n">
        <v>965450.379441001</v>
      </c>
      <c r="C25" s="34" t="n">
        <v>3874085.20433054</v>
      </c>
      <c r="D25" s="34" t="n">
        <v>7693194.6980517</v>
      </c>
      <c r="E25" s="34" t="n">
        <v>-8323.238657125</v>
      </c>
      <c r="F25" s="7" t="n">
        <v>8</v>
      </c>
    </row>
    <row r="26" customFormat="false" ht="15" hidden="false" customHeight="false" outlineLevel="0" collapsed="false">
      <c r="A26" s="7" t="s">
        <v>208</v>
      </c>
      <c r="B26" s="34" t="n">
        <v>542945.431228373</v>
      </c>
      <c r="C26" s="34" t="n">
        <v>2040521.88860903</v>
      </c>
      <c r="D26" s="34" t="n">
        <v>3891315.46066407</v>
      </c>
      <c r="E26" s="34" t="n">
        <v>245</v>
      </c>
      <c r="F26" s="7" t="n">
        <v>11</v>
      </c>
    </row>
    <row r="27" customFormat="false" ht="15" hidden="false" customHeight="false" outlineLevel="0" collapsed="false">
      <c r="A27" s="7" t="s">
        <v>209</v>
      </c>
      <c r="B27" s="34" t="n">
        <v>724338.124486006</v>
      </c>
      <c r="C27" s="34" t="n">
        <v>1590577.39739658</v>
      </c>
      <c r="D27" s="34" t="n">
        <v>2034233.66472055</v>
      </c>
      <c r="E27" s="34" t="n">
        <v>-4644.738657125</v>
      </c>
      <c r="F27" s="7" t="n">
        <v>9</v>
      </c>
    </row>
    <row r="28" customFormat="false" ht="15" hidden="false" customHeight="false" outlineLevel="0" collapsed="false">
      <c r="A28" s="7" t="s">
        <v>210</v>
      </c>
      <c r="B28" s="34" t="n">
        <v>1073087.20415785</v>
      </c>
      <c r="C28" s="34" t="n">
        <v>4244581.25233224</v>
      </c>
      <c r="D28" s="34" t="n">
        <v>8110459.78538072</v>
      </c>
      <c r="E28" s="34" t="n">
        <v>-13149.340177</v>
      </c>
      <c r="F28" s="7" t="n">
        <v>7</v>
      </c>
    </row>
    <row r="29" customFormat="false" ht="15" hidden="false" customHeight="false" outlineLevel="0" collapsed="false">
      <c r="A29" s="7" t="s">
        <v>211</v>
      </c>
      <c r="B29" s="34" t="n">
        <v>1068999.241443</v>
      </c>
      <c r="C29" s="34" t="n">
        <v>4080301.38256214</v>
      </c>
      <c r="D29" s="34" t="n">
        <v>7739418.03727641</v>
      </c>
      <c r="E29" s="34" t="n">
        <v>-8323.238657125</v>
      </c>
      <c r="F29" s="7" t="n">
        <v>7</v>
      </c>
    </row>
    <row r="30" customFormat="false" ht="15" hidden="false" customHeight="false" outlineLevel="0" collapsed="false">
      <c r="A30" s="7" t="s">
        <v>212</v>
      </c>
      <c r="B30" s="34" t="n">
        <v>1222991.04299801</v>
      </c>
      <c r="C30" s="34" t="n">
        <v>4689563.95634073</v>
      </c>
      <c r="D30" s="34" t="n">
        <v>8872162.40334621</v>
      </c>
      <c r="E30" s="34" t="n">
        <v>-7587.146657125</v>
      </c>
      <c r="F30" s="7" t="n">
        <v>7</v>
      </c>
    </row>
    <row r="31" customFormat="false" ht="15" hidden="false" customHeight="false" outlineLevel="0" collapsed="false">
      <c r="A31" s="7" t="s">
        <v>213</v>
      </c>
      <c r="B31" s="34" t="n">
        <v>714769.155869879</v>
      </c>
      <c r="C31" s="34" t="n">
        <v>2289581.5596166</v>
      </c>
      <c r="D31" s="34" t="n">
        <v>4021051.3675086</v>
      </c>
      <c r="E31" s="34" t="n">
        <v>-5535.58913237499</v>
      </c>
      <c r="F31" s="7" t="n">
        <v>9</v>
      </c>
    </row>
    <row r="32" customFormat="false" ht="15" hidden="false" customHeight="false" outlineLevel="0" collapsed="false">
      <c r="A32" s="7" t="s">
        <v>214</v>
      </c>
      <c r="B32" s="34" t="n">
        <v>231627.778879833</v>
      </c>
      <c r="C32" s="34" t="n">
        <v>876943.565890996</v>
      </c>
      <c r="D32" s="34" t="n">
        <v>1847410.33419211</v>
      </c>
      <c r="E32" s="34" t="n">
        <v>245</v>
      </c>
      <c r="F32" s="7" t="n">
        <v>21</v>
      </c>
    </row>
    <row r="34" customFormat="false" ht="15" hidden="false" customHeight="false" outlineLevel="0" collapsed="false">
      <c r="A34" s="11" t="s">
        <v>215</v>
      </c>
    </row>
    <row r="35" customFormat="false" ht="15" hidden="false" customHeight="false" outlineLevel="0" collapsed="false">
      <c r="A35" s="7" t="s">
        <v>216</v>
      </c>
      <c r="B35" s="43" t="n">
        <v>4.09720810306065E-005</v>
      </c>
    </row>
    <row r="36" customFormat="false" ht="15" hidden="false" customHeight="false" outlineLevel="0" collapsed="false">
      <c r="A36" s="7" t="s">
        <v>217</v>
      </c>
      <c r="B36" s="43" t="n">
        <v>0.000158852301097828</v>
      </c>
    </row>
    <row r="37" customFormat="false" ht="15" hidden="false" customHeight="false" outlineLevel="0" collapsed="false">
      <c r="A37" s="7" t="s">
        <v>218</v>
      </c>
      <c r="B37" s="43" t="n">
        <v>0.000516341694840518</v>
      </c>
    </row>
    <row r="38" customFormat="false" ht="15" hidden="false" customHeight="false" outlineLevel="0" collapsed="false">
      <c r="A38" s="2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220</v>
      </c>
    </row>
    <row r="2" customFormat="false" ht="15" hidden="false" customHeight="false" outlineLevel="0" collapsed="false">
      <c r="A2" s="2" t="s">
        <v>221</v>
      </c>
    </row>
    <row r="4" customFormat="false" ht="15" hidden="false" customHeight="false" outlineLevel="0" collapsed="false">
      <c r="A4" s="11" t="s">
        <v>222</v>
      </c>
    </row>
    <row r="5" customFormat="false" ht="15" hidden="false" customHeight="false" outlineLevel="0" collapsed="false">
      <c r="A5" s="5" t="s">
        <v>142</v>
      </c>
      <c r="B5" s="5" t="s">
        <v>223</v>
      </c>
      <c r="C5" s="5" t="s">
        <v>224</v>
      </c>
      <c r="D5" s="5" t="s">
        <v>225</v>
      </c>
    </row>
    <row r="6" customFormat="false" ht="15" hidden="false" customHeight="false" outlineLevel="0" collapsed="false">
      <c r="A6" s="7" t="s">
        <v>143</v>
      </c>
      <c r="B6" s="44" t="n">
        <v>3000</v>
      </c>
      <c r="C6" s="44" t="n">
        <v>5000</v>
      </c>
      <c r="D6" s="44" t="n">
        <v>8000</v>
      </c>
    </row>
    <row r="7" customFormat="false" ht="15" hidden="false" customHeight="false" outlineLevel="0" collapsed="false">
      <c r="A7" s="7" t="s">
        <v>147</v>
      </c>
      <c r="B7" s="38" t="n">
        <v>0.0002</v>
      </c>
      <c r="C7" s="38" t="n">
        <v>0.0005</v>
      </c>
      <c r="D7" s="38" t="n">
        <v>0.0008</v>
      </c>
    </row>
    <row r="8" customFormat="false" ht="15" hidden="false" customHeight="false" outlineLevel="0" collapsed="false">
      <c r="A8" s="7" t="s">
        <v>151</v>
      </c>
      <c r="B8" s="39" t="n">
        <v>0.5</v>
      </c>
      <c r="C8" s="39" t="n">
        <v>0.85</v>
      </c>
      <c r="D8" s="39" t="n">
        <v>1</v>
      </c>
    </row>
    <row r="9" customFormat="false" ht="15" hidden="false" customHeight="false" outlineLevel="0" collapsed="false">
      <c r="A9" s="7" t="s">
        <v>196</v>
      </c>
      <c r="B9" s="39" t="n">
        <v>0.05</v>
      </c>
      <c r="C9" s="39" t="n">
        <v>0.2</v>
      </c>
      <c r="D9" s="39" t="n">
        <v>0.3</v>
      </c>
    </row>
    <row r="10" customFormat="false" ht="15" hidden="false" customHeight="false" outlineLevel="0" collapsed="false">
      <c r="A10" s="7" t="s">
        <v>226</v>
      </c>
      <c r="B10" s="39" t="n">
        <v>0.05</v>
      </c>
      <c r="C10" s="39" t="n">
        <v>0.1</v>
      </c>
      <c r="D10" s="39" t="n">
        <v>0.15</v>
      </c>
    </row>
    <row r="11" customFormat="false" ht="15" hidden="false" customHeight="false" outlineLevel="0" collapsed="false">
      <c r="A11" s="7" t="s">
        <v>154</v>
      </c>
      <c r="B11" s="39" t="n">
        <v>0.08</v>
      </c>
      <c r="C11" s="39" t="n">
        <v>0.15</v>
      </c>
      <c r="D11" s="39" t="n">
        <v>0.22</v>
      </c>
    </row>
    <row r="12" customFormat="false" ht="15" hidden="false" customHeight="false" outlineLevel="0" collapsed="false">
      <c r="A12" s="7" t="s">
        <v>158</v>
      </c>
      <c r="B12" s="39" t="n">
        <v>0.07</v>
      </c>
      <c r="C12" s="39" t="n">
        <v>0.1</v>
      </c>
      <c r="D12" s="39" t="n">
        <v>0.15</v>
      </c>
    </row>
    <row r="13" customFormat="false" ht="15" hidden="false" customHeight="false" outlineLevel="0" collapsed="false">
      <c r="A13" s="7" t="s">
        <v>227</v>
      </c>
      <c r="B13" s="44" t="n">
        <v>4</v>
      </c>
      <c r="C13" s="44" t="n">
        <v>10</v>
      </c>
      <c r="D13" s="44" t="n">
        <v>15</v>
      </c>
    </row>
    <row r="14" customFormat="false" ht="15" hidden="false" customHeight="false" outlineLevel="0" collapsed="false">
      <c r="A14" s="7" t="s">
        <v>228</v>
      </c>
      <c r="B14" s="44" t="n">
        <v>5</v>
      </c>
      <c r="C14" s="44" t="n">
        <v>12</v>
      </c>
      <c r="D14" s="44" t="n">
        <v>18</v>
      </c>
    </row>
    <row r="15" customFormat="false" ht="15" hidden="false" customHeight="false" outlineLevel="0" collapsed="false">
      <c r="A15" s="7" t="s">
        <v>165</v>
      </c>
      <c r="B15" s="44" t="n">
        <v>8</v>
      </c>
      <c r="C15" s="44" t="n">
        <v>30</v>
      </c>
      <c r="D15" s="44" t="n">
        <v>45</v>
      </c>
    </row>
    <row r="16" customFormat="false" ht="15" hidden="false" customHeight="false" outlineLevel="0" collapsed="false">
      <c r="A16" s="7" t="s">
        <v>229</v>
      </c>
      <c r="B16" s="44" t="n">
        <v>0</v>
      </c>
      <c r="C16" s="44" t="n">
        <v>1.5</v>
      </c>
      <c r="D16" s="44" t="n">
        <v>2.5</v>
      </c>
    </row>
    <row r="17" customFormat="false" ht="15" hidden="false" customHeight="false" outlineLevel="0" collapsed="false">
      <c r="A17" s="7" t="s">
        <v>230</v>
      </c>
      <c r="B17" s="39" t="n">
        <v>0.12</v>
      </c>
      <c r="C17" s="39" t="n">
        <v>0.15</v>
      </c>
      <c r="D17" s="39" t="n">
        <v>0.25</v>
      </c>
    </row>
    <row r="18" customFormat="false" ht="15" hidden="false" customHeight="false" outlineLevel="0" collapsed="false">
      <c r="A18" s="7" t="s">
        <v>231</v>
      </c>
      <c r="B18" s="40" t="n">
        <v>1.5</v>
      </c>
      <c r="C18" s="40" t="n">
        <v>3</v>
      </c>
      <c r="D18" s="40" t="n">
        <v>5</v>
      </c>
    </row>
    <row r="19" customFormat="false" ht="15" hidden="false" customHeight="false" outlineLevel="0" collapsed="false">
      <c r="A19" s="7" t="s">
        <v>232</v>
      </c>
      <c r="B19" s="40" t="n">
        <v>0.95</v>
      </c>
      <c r="C19" s="40" t="n">
        <v>1</v>
      </c>
      <c r="D19" s="40" t="n">
        <v>1.15</v>
      </c>
    </row>
    <row r="21" customFormat="false" ht="15" hidden="false" customHeight="false" outlineLevel="0" collapsed="false">
      <c r="A21" s="11" t="s">
        <v>233</v>
      </c>
    </row>
    <row r="22" customFormat="false" ht="15" hidden="false" customHeight="false" outlineLevel="0" collapsed="false">
      <c r="A22" s="5" t="s">
        <v>3</v>
      </c>
      <c r="B22" s="5" t="s">
        <v>234</v>
      </c>
      <c r="C22" s="5" t="s">
        <v>235</v>
      </c>
      <c r="D22" s="5" t="s">
        <v>236</v>
      </c>
      <c r="E22" s="5" t="s">
        <v>237</v>
      </c>
    </row>
    <row r="23" customFormat="false" ht="15" hidden="false" customHeight="false" outlineLevel="0" collapsed="false">
      <c r="A23" s="7" t="s">
        <v>127</v>
      </c>
      <c r="B23" s="34" t="n">
        <v>1973048.4207506</v>
      </c>
      <c r="C23" s="34" t="n">
        <v>2922730.69793077</v>
      </c>
      <c r="D23" s="34" t="n">
        <v>4325167.14777876</v>
      </c>
      <c r="E23" s="34" t="n">
        <v>3068875.97263589</v>
      </c>
    </row>
    <row r="24" customFormat="false" ht="15" hidden="false" customHeight="false" outlineLevel="0" collapsed="false">
      <c r="A24" s="7" t="s">
        <v>128</v>
      </c>
      <c r="B24" s="34" t="n">
        <v>547050.600943547</v>
      </c>
      <c r="C24" s="34" t="n">
        <v>875237.979398903</v>
      </c>
      <c r="D24" s="34" t="n">
        <v>1390899.72915387</v>
      </c>
      <c r="E24" s="34" t="n">
        <v>934413.086260668</v>
      </c>
    </row>
    <row r="25" customFormat="false" ht="15" hidden="false" customHeight="false" outlineLevel="0" collapsed="false">
      <c r="A25" s="7" t="s">
        <v>129</v>
      </c>
      <c r="B25" s="34" t="n">
        <v>6257575.67270215</v>
      </c>
      <c r="C25" s="34" t="n">
        <v>9453852.25735182</v>
      </c>
      <c r="D25" s="34" t="n">
        <v>14281265.0702557</v>
      </c>
      <c r="E25" s="34" t="n">
        <v>9924719.63466376</v>
      </c>
    </row>
    <row r="26" customFormat="false" ht="15" hidden="false" customHeight="false" outlineLevel="0" collapsed="false">
      <c r="A26" s="7" t="s">
        <v>130</v>
      </c>
      <c r="B26" s="34" t="n">
        <v>2008397.6786387</v>
      </c>
      <c r="C26" s="34" t="n">
        <v>3342876.32639646</v>
      </c>
      <c r="D26" s="34" t="n">
        <v>5407218.56150971</v>
      </c>
      <c r="E26" s="34" t="n">
        <v>3568251.97217239</v>
      </c>
    </row>
    <row r="27" customFormat="false" ht="15" hidden="false" customHeight="false" outlineLevel="0" collapsed="false">
      <c r="A27" s="7" t="s">
        <v>131</v>
      </c>
      <c r="B27" s="34" t="n">
        <v>10445826.9697901</v>
      </c>
      <c r="C27" s="34" t="n">
        <v>16176290.1328814</v>
      </c>
      <c r="D27" s="34" t="n">
        <v>24664742.3136818</v>
      </c>
      <c r="E27" s="34" t="n">
        <v>17008093.436985</v>
      </c>
    </row>
    <row r="28" customFormat="false" ht="15" hidden="false" customHeight="false" outlineLevel="0" collapsed="false">
      <c r="A28" s="7" t="s">
        <v>132</v>
      </c>
      <c r="B28" s="34" t="n">
        <v>3752836.93730555</v>
      </c>
      <c r="C28" s="34" t="n">
        <v>6309639.61496614</v>
      </c>
      <c r="D28" s="34" t="n">
        <v>10235314.1759985</v>
      </c>
      <c r="E28" s="34" t="n">
        <v>6724560.23677694</v>
      </c>
    </row>
    <row r="29" customFormat="false" ht="15" hidden="false" customHeight="false" outlineLevel="0" collapsed="false">
      <c r="A29" s="7" t="s">
        <v>135</v>
      </c>
      <c r="B29" s="35" t="n">
        <v>4132.31573158365</v>
      </c>
      <c r="C29" s="35" t="n">
        <v>7443.78643633602</v>
      </c>
      <c r="D29" s="35" t="n">
        <v>12750.6220999487</v>
      </c>
      <c r="E29" s="35" t="n">
        <v>8044.04738154716</v>
      </c>
    </row>
    <row r="30" customFormat="false" ht="15" hidden="false" customHeight="false" outlineLevel="0" collapsed="false">
      <c r="A30" s="7" t="s">
        <v>18</v>
      </c>
      <c r="B30" s="34" t="n">
        <v>-15508.1174863798</v>
      </c>
      <c r="C30" s="34" t="n">
        <v>-3151.20665417192</v>
      </c>
      <c r="D30" s="34" t="n">
        <v>245</v>
      </c>
      <c r="E30" s="34" t="n">
        <v>-5584.39865546911</v>
      </c>
    </row>
    <row r="32" customFormat="false" ht="15" hidden="false" customHeight="false" outlineLevel="0" collapsed="false">
      <c r="A32" s="11" t="s">
        <v>238</v>
      </c>
    </row>
    <row r="33" customFormat="false" ht="15" hidden="false" customHeight="false" outlineLevel="0" collapsed="false">
      <c r="A33" s="7" t="s">
        <v>239</v>
      </c>
      <c r="B33" s="39" t="n">
        <v>0</v>
      </c>
    </row>
    <row r="34" customFormat="false" ht="15" hidden="false" customHeight="false" outlineLevel="0" collapsed="false">
      <c r="A34" s="7" t="s">
        <v>240</v>
      </c>
      <c r="B34" s="39" t="n">
        <v>0.3618</v>
      </c>
    </row>
    <row r="35" customFormat="false" ht="15" hidden="false" customHeight="false" outlineLevel="0" collapsed="false">
      <c r="A35" s="7" t="s">
        <v>241</v>
      </c>
      <c r="B35" s="39" t="n">
        <v>0.9996</v>
      </c>
    </row>
    <row r="36" customFormat="false" ht="15" hidden="false" customHeight="false" outlineLevel="0" collapsed="false">
      <c r="A36" s="7" t="s">
        <v>242</v>
      </c>
      <c r="B36" s="39" t="n">
        <v>1</v>
      </c>
    </row>
    <row r="37" customFormat="false" ht="15" hidden="false" customHeight="false" outlineLevel="0" collapsed="false">
      <c r="A37" s="7" t="s">
        <v>243</v>
      </c>
      <c r="B37" s="39" t="n">
        <v>0.6772</v>
      </c>
    </row>
    <row r="38" customFormat="false" ht="15" hidden="false" customHeight="false" outlineLevel="0" collapsed="false">
      <c r="A38" s="7" t="s">
        <v>244</v>
      </c>
      <c r="B38" s="39" t="n">
        <v>0.2256</v>
      </c>
    </row>
    <row r="39" customFormat="false" ht="15" hidden="false" customHeight="false" outlineLevel="0" collapsed="false">
      <c r="A39" s="7" t="s">
        <v>245</v>
      </c>
      <c r="B39" s="34" t="n">
        <v>15508.1174863798</v>
      </c>
    </row>
    <row r="40" customFormat="false" ht="15" hidden="false" customHeight="false" outlineLevel="0" collapsed="false">
      <c r="A40" s="7" t="s">
        <v>246</v>
      </c>
      <c r="B40" s="7" t="n">
        <v>8</v>
      </c>
    </row>
    <row r="41" customFormat="false" ht="15" hidden="false" customHeight="false" outlineLevel="0" collapsed="false">
      <c r="A41" s="7" t="s">
        <v>247</v>
      </c>
      <c r="B41" s="7" t="s">
        <v>248</v>
      </c>
    </row>
    <row r="43" customFormat="false" ht="15" hidden="false" customHeight="false" outlineLevel="0" collapsed="false">
      <c r="A43" s="11" t="s">
        <v>249</v>
      </c>
    </row>
    <row r="44" customFormat="false" ht="15" hidden="false" customHeight="false" outlineLevel="0" collapsed="false">
      <c r="A44" s="5" t="s">
        <v>250</v>
      </c>
      <c r="B44" s="5" t="s">
        <v>251</v>
      </c>
    </row>
    <row r="45" customFormat="false" ht="15" hidden="false" customHeight="false" outlineLevel="0" collapsed="false">
      <c r="A45" s="7" t="s">
        <v>252</v>
      </c>
      <c r="B45" s="39" t="n">
        <v>0</v>
      </c>
    </row>
    <row r="46" customFormat="false" ht="15" hidden="false" customHeight="false" outlineLevel="0" collapsed="false">
      <c r="A46" s="7" t="s">
        <v>253</v>
      </c>
      <c r="B46" s="39" t="n">
        <v>0</v>
      </c>
    </row>
    <row r="47" customFormat="false" ht="15" hidden="false" customHeight="false" outlineLevel="0" collapsed="false">
      <c r="A47" s="7" t="s">
        <v>254</v>
      </c>
      <c r="B47" s="39" t="n">
        <v>0.0004</v>
      </c>
    </row>
    <row r="48" customFormat="false" ht="15" hidden="false" customHeight="false" outlineLevel="0" collapsed="false">
      <c r="A48" s="7" t="s">
        <v>255</v>
      </c>
      <c r="B48" s="39" t="n">
        <v>0.0986</v>
      </c>
    </row>
    <row r="49" customFormat="false" ht="15" hidden="false" customHeight="false" outlineLevel="0" collapsed="false">
      <c r="A49" s="7" t="s">
        <v>256</v>
      </c>
      <c r="B49" s="39" t="n">
        <v>0.2938</v>
      </c>
    </row>
    <row r="50" customFormat="false" ht="15" hidden="false" customHeight="false" outlineLevel="0" collapsed="false">
      <c r="A50" s="7" t="s">
        <v>257</v>
      </c>
      <c r="B50" s="39" t="n">
        <v>0.2864</v>
      </c>
    </row>
    <row r="51" customFormat="false" ht="15" hidden="false" customHeight="false" outlineLevel="0" collapsed="false">
      <c r="A51" s="7" t="s">
        <v>258</v>
      </c>
      <c r="B51" s="39" t="n">
        <v>0.1724</v>
      </c>
    </row>
    <row r="52" customFormat="false" ht="15" hidden="false" customHeight="false" outlineLevel="0" collapsed="false">
      <c r="A52" s="7" t="s">
        <v>259</v>
      </c>
      <c r="B52" s="39" t="n">
        <v>0.1484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44"/>
    <col collapsed="false" customWidth="true" hidden="false" outlineLevel="0" max="6" min="6" style="0" width="6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2" t="s">
        <v>261</v>
      </c>
    </row>
    <row r="4" customFormat="false" ht="15" hidden="false" customHeight="false" outlineLevel="0" collapsed="false">
      <c r="A4" s="5" t="s">
        <v>262</v>
      </c>
      <c r="B4" s="5" t="s">
        <v>263</v>
      </c>
      <c r="C4" s="5" t="s">
        <v>264</v>
      </c>
      <c r="D4" s="5" t="s">
        <v>265</v>
      </c>
      <c r="E4" s="5" t="s">
        <v>266</v>
      </c>
      <c r="F4" s="5" t="s">
        <v>267</v>
      </c>
      <c r="G4" s="5" t="s">
        <v>268</v>
      </c>
    </row>
    <row r="5" customFormat="false" ht="15" hidden="false" customHeight="false" outlineLevel="0" collapsed="false">
      <c r="A5" s="36" t="s">
        <v>269</v>
      </c>
      <c r="B5" s="45" t="n">
        <v>0.5</v>
      </c>
      <c r="C5" s="37" t="n">
        <v>433512.401682284</v>
      </c>
      <c r="D5" s="37" t="n">
        <f aca="false">B5*C5</f>
        <v>216756.200841142</v>
      </c>
      <c r="E5" s="36" t="s">
        <v>270</v>
      </c>
      <c r="F5" s="36" t="s">
        <v>271</v>
      </c>
      <c r="G5" s="36" t="s">
        <v>272</v>
      </c>
    </row>
    <row r="6" customFormat="false" ht="15" hidden="false" customHeight="false" outlineLevel="0" collapsed="false">
      <c r="A6" s="36" t="s">
        <v>273</v>
      </c>
      <c r="B6" s="45" t="n">
        <v>0.3</v>
      </c>
      <c r="C6" s="37" t="n">
        <v>433512.401682284</v>
      </c>
      <c r="D6" s="37" t="n">
        <f aca="false">B6*C6</f>
        <v>130053.720504685</v>
      </c>
      <c r="E6" s="36" t="s">
        <v>274</v>
      </c>
      <c r="F6" s="36" t="s">
        <v>275</v>
      </c>
      <c r="G6" s="36" t="s">
        <v>276</v>
      </c>
    </row>
    <row r="7" customFormat="false" ht="15" hidden="false" customHeight="false" outlineLevel="0" collapsed="false">
      <c r="A7" s="36" t="s">
        <v>277</v>
      </c>
      <c r="B7" s="45" t="n">
        <v>0.25</v>
      </c>
      <c r="C7" s="37" t="n">
        <v>473314.159128131</v>
      </c>
      <c r="D7" s="37" t="n">
        <f aca="false">B7*C7</f>
        <v>118328.539782033</v>
      </c>
      <c r="E7" s="36" t="s">
        <v>278</v>
      </c>
      <c r="F7" s="36" t="s">
        <v>279</v>
      </c>
      <c r="G7" s="36" t="s">
        <v>280</v>
      </c>
    </row>
    <row r="8" customFormat="false" ht="15" hidden="false" customHeight="false" outlineLevel="0" collapsed="false">
      <c r="A8" s="7" t="s">
        <v>281</v>
      </c>
      <c r="B8" s="39" t="n">
        <v>0.2</v>
      </c>
      <c r="C8" s="34" t="n">
        <v>222632.935557009</v>
      </c>
      <c r="D8" s="34" t="n">
        <f aca="false">B8*C8</f>
        <v>44526.5871114019</v>
      </c>
      <c r="E8" s="7" t="s">
        <v>282</v>
      </c>
      <c r="F8" s="7" t="s">
        <v>283</v>
      </c>
      <c r="G8" s="7" t="s">
        <v>284</v>
      </c>
    </row>
    <row r="9" customFormat="false" ht="15" hidden="false" customHeight="false" outlineLevel="0" collapsed="false">
      <c r="A9" s="36" t="s">
        <v>285</v>
      </c>
      <c r="B9" s="45" t="n">
        <v>0.2</v>
      </c>
      <c r="C9" s="37" t="n">
        <v>463745.190512005</v>
      </c>
      <c r="D9" s="37" t="n">
        <f aca="false">B9*C9</f>
        <v>92749.038102401</v>
      </c>
      <c r="E9" s="36" t="s">
        <v>286</v>
      </c>
      <c r="F9" s="36" t="s">
        <v>287</v>
      </c>
      <c r="G9" s="36" t="s">
        <v>272</v>
      </c>
    </row>
    <row r="10" customFormat="false" ht="15" hidden="false" customHeight="false" outlineLevel="0" collapsed="false">
      <c r="A10" s="7" t="s">
        <v>288</v>
      </c>
      <c r="B10" s="39" t="n">
        <v>0.1</v>
      </c>
      <c r="C10" s="34" t="n">
        <v>223655.201359433</v>
      </c>
      <c r="D10" s="34" t="n">
        <f aca="false">B10*C10</f>
        <v>22365.5201359433</v>
      </c>
      <c r="E10" s="7" t="s">
        <v>289</v>
      </c>
      <c r="F10" s="7" t="s">
        <v>290</v>
      </c>
      <c r="G10" s="7" t="s">
        <v>291</v>
      </c>
    </row>
    <row r="11" customFormat="false" ht="15" hidden="false" customHeight="false" outlineLevel="0" collapsed="false">
      <c r="A11" s="7" t="s">
        <v>292</v>
      </c>
      <c r="B11" s="39" t="n">
        <v>0.15</v>
      </c>
      <c r="C11" s="34" t="n">
        <v>114996.110840159</v>
      </c>
      <c r="D11" s="34" t="n">
        <f aca="false">B11*C11</f>
        <v>17249.4166260238</v>
      </c>
      <c r="E11" s="7" t="s">
        <v>293</v>
      </c>
      <c r="F11" s="7" t="s">
        <v>294</v>
      </c>
      <c r="G11" s="7" t="s">
        <v>284</v>
      </c>
    </row>
    <row r="12" customFormat="false" ht="15" hidden="false" customHeight="false" outlineLevel="0" collapsed="false">
      <c r="A12" s="7" t="s">
        <v>295</v>
      </c>
      <c r="B12" s="39" t="n">
        <v>0.15</v>
      </c>
      <c r="C12" s="34" t="n">
        <v>42731.8936893297</v>
      </c>
      <c r="D12" s="34" t="n">
        <f aca="false">B12*C12</f>
        <v>6409.78405339946</v>
      </c>
      <c r="E12" s="7" t="s">
        <v>296</v>
      </c>
      <c r="F12" s="7" t="s">
        <v>297</v>
      </c>
      <c r="G12" s="7" t="s">
        <v>291</v>
      </c>
    </row>
    <row r="13" customFormat="false" ht="15" hidden="false" customHeight="false" outlineLevel="0" collapsed="false">
      <c r="A13" s="7" t="s">
        <v>298</v>
      </c>
      <c r="B13" s="39" t="n">
        <v>0.85</v>
      </c>
      <c r="C13" s="34" t="n">
        <v>8593.7</v>
      </c>
      <c r="D13" s="34" t="n">
        <f aca="false">B13*C13</f>
        <v>7304.645</v>
      </c>
      <c r="E13" s="7" t="s">
        <v>299</v>
      </c>
      <c r="F13" s="7" t="s">
        <v>300</v>
      </c>
      <c r="G13" s="7" t="s">
        <v>284</v>
      </c>
    </row>
    <row r="14" customFormat="false" ht="15" hidden="false" customHeight="false" outlineLevel="0" collapsed="false">
      <c r="A14" s="7" t="s">
        <v>301</v>
      </c>
      <c r="B14" s="39" t="n">
        <v>0.3</v>
      </c>
      <c r="C14" s="34" t="n">
        <v>0</v>
      </c>
      <c r="D14" s="34" t="n">
        <f aca="false">B14*C14</f>
        <v>0</v>
      </c>
      <c r="E14" s="7" t="s">
        <v>302</v>
      </c>
      <c r="F14" s="7" t="s">
        <v>303</v>
      </c>
      <c r="G14" s="7" t="s">
        <v>284</v>
      </c>
    </row>
    <row r="15" customFormat="false" ht="15" hidden="false" customHeight="false" outlineLevel="0" collapsed="false">
      <c r="A15" s="7" t="s">
        <v>304</v>
      </c>
      <c r="B15" s="39" t="n">
        <v>0.05</v>
      </c>
      <c r="C15" s="34" t="n">
        <v>50000</v>
      </c>
      <c r="D15" s="34" t="n">
        <f aca="false">B15*C15</f>
        <v>2500</v>
      </c>
      <c r="E15" s="7" t="s">
        <v>305</v>
      </c>
      <c r="F15" s="7" t="s">
        <v>306</v>
      </c>
      <c r="G15" s="7" t="s">
        <v>284</v>
      </c>
    </row>
    <row r="16" customFormat="false" ht="15" hidden="false" customHeight="false" outlineLevel="0" collapsed="false">
      <c r="A16" s="7" t="s">
        <v>307</v>
      </c>
      <c r="B16" s="39" t="n">
        <v>0.4</v>
      </c>
      <c r="C16" s="34" t="n">
        <v>0</v>
      </c>
      <c r="D16" s="34" t="n">
        <f aca="false">B16*C16</f>
        <v>0</v>
      </c>
      <c r="E16" s="7" t="s">
        <v>308</v>
      </c>
      <c r="F16" s="7" t="s">
        <v>309</v>
      </c>
      <c r="G16" s="7" t="s">
        <v>284</v>
      </c>
    </row>
    <row r="17" customFormat="false" ht="15" hidden="false" customHeight="false" outlineLevel="0" collapsed="false">
      <c r="A17" s="3" t="s">
        <v>310</v>
      </c>
      <c r="D17" s="46" t="n">
        <f aca="false">SUM(D5:D16)</f>
        <v>658243.452157029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2" width="58"/>
    <col collapsed="false" customWidth="true" hidden="false" outlineLevel="0" max="2" min="2" style="12" width="14"/>
    <col collapsed="false" customWidth="true" hidden="false" outlineLevel="0" max="3" min="3" style="12" width="16"/>
    <col collapsed="false" customWidth="true" hidden="false" outlineLevel="0" max="5" min="4" style="12" width="14"/>
    <col collapsed="false" customWidth="true" hidden="false" outlineLevel="0" max="6" min="6" style="12" width="50"/>
    <col collapsed="false" customWidth="true" hidden="false" outlineLevel="0" max="15" min="8" style="12" width="11"/>
  </cols>
  <sheetData>
    <row r="1" customFormat="false" ht="17.25" hidden="false" customHeight="true" outlineLevel="0" collapsed="false">
      <c r="A1" s="13" t="s">
        <v>311</v>
      </c>
    </row>
    <row r="2" customFormat="false" ht="15" hidden="false" customHeight="true" outlineLevel="0" collapsed="false">
      <c r="A2" s="14" t="s">
        <v>312</v>
      </c>
    </row>
    <row r="3" customFormat="false" ht="15" hidden="false" customHeight="true" outlineLevel="0" collapsed="false">
      <c r="A3" s="27" t="s">
        <v>313</v>
      </c>
      <c r="B3" s="47" t="n">
        <v>2</v>
      </c>
    </row>
    <row r="5" customFormat="false" ht="15" hidden="false" customHeight="true" outlineLevel="0" collapsed="false">
      <c r="A5" s="15" t="s">
        <v>314</v>
      </c>
      <c r="B5" s="15" t="s">
        <v>315</v>
      </c>
      <c r="C5" s="15" t="s">
        <v>125</v>
      </c>
      <c r="D5" s="15" t="s">
        <v>316</v>
      </c>
      <c r="E5" s="15" t="s">
        <v>317</v>
      </c>
      <c r="F5" s="15" t="s">
        <v>318</v>
      </c>
    </row>
    <row r="6" customFormat="false" ht="15" hidden="false" customHeight="true" outlineLevel="0" collapsed="false">
      <c r="A6" s="16" t="s">
        <v>143</v>
      </c>
      <c r="B6" s="48" t="n">
        <v>3500</v>
      </c>
      <c r="C6" s="48" t="n">
        <v>5000</v>
      </c>
      <c r="D6" s="48" t="n">
        <v>7000</v>
      </c>
      <c r="E6" s="49" t="n">
        <f aca="false">CHOOSE($B$3,B6,C6,D6)</f>
        <v>5000</v>
      </c>
      <c r="F6" s="50" t="s">
        <v>319</v>
      </c>
    </row>
    <row r="7" customFormat="false" ht="15" hidden="false" customHeight="true" outlineLevel="0" collapsed="false">
      <c r="A7" s="16" t="s">
        <v>193</v>
      </c>
      <c r="B7" s="51" t="n">
        <v>0.0003</v>
      </c>
      <c r="C7" s="51" t="n">
        <v>0.0005</v>
      </c>
      <c r="D7" s="51" t="n">
        <v>0.0007</v>
      </c>
      <c r="E7" s="52" t="n">
        <f aca="false">CHOOSE($B$3,B7,C7,D7)</f>
        <v>0.0005</v>
      </c>
      <c r="F7" s="50" t="s">
        <v>320</v>
      </c>
    </row>
    <row r="8" customFormat="false" ht="15" hidden="false" customHeight="true" outlineLevel="0" collapsed="false">
      <c r="A8" s="16" t="s">
        <v>321</v>
      </c>
      <c r="B8" s="53" t="n">
        <v>0.6</v>
      </c>
      <c r="C8" s="53" t="n">
        <v>1</v>
      </c>
      <c r="D8" s="53" t="n">
        <v>1</v>
      </c>
      <c r="E8" s="54" t="n">
        <f aca="false">CHOOSE($B$3,B8,C8,D8)</f>
        <v>1</v>
      </c>
      <c r="F8" s="50" t="s">
        <v>322</v>
      </c>
    </row>
    <row r="9" customFormat="false" ht="15" hidden="false" customHeight="true" outlineLevel="0" collapsed="false">
      <c r="A9" s="16" t="s">
        <v>323</v>
      </c>
      <c r="B9" s="53" t="n">
        <v>0.1</v>
      </c>
      <c r="C9" s="53" t="n">
        <v>0.2</v>
      </c>
      <c r="D9" s="53" t="n">
        <v>0.3</v>
      </c>
      <c r="E9" s="54" t="n">
        <f aca="false">CHOOSE($B$3,B9,C9,D9)</f>
        <v>0.2</v>
      </c>
      <c r="F9" s="50" t="s">
        <v>324</v>
      </c>
    </row>
    <row r="10" customFormat="false" ht="15" hidden="false" customHeight="true" outlineLevel="0" collapsed="false">
      <c r="A10" s="16" t="s">
        <v>325</v>
      </c>
      <c r="B10" s="53" t="n">
        <v>0.05</v>
      </c>
      <c r="C10" s="53" t="n">
        <v>0.1</v>
      </c>
      <c r="D10" s="53" t="n">
        <v>0.15</v>
      </c>
      <c r="E10" s="54" t="n">
        <f aca="false">CHOOSE($B$3,B10,C10,D10)</f>
        <v>0.1</v>
      </c>
      <c r="F10" s="50" t="s">
        <v>326</v>
      </c>
    </row>
    <row r="11" customFormat="false" ht="15" hidden="false" customHeight="true" outlineLevel="0" collapsed="false">
      <c r="A11" s="16" t="s">
        <v>327</v>
      </c>
      <c r="B11" s="53" t="n">
        <v>0.12</v>
      </c>
      <c r="C11" s="53" t="n">
        <v>0.15</v>
      </c>
      <c r="D11" s="53" t="n">
        <v>0.2</v>
      </c>
      <c r="E11" s="54" t="n">
        <f aca="false">CHOOSE($B$3,B11,C11,D11)</f>
        <v>0.15</v>
      </c>
      <c r="F11" s="50" t="s">
        <v>328</v>
      </c>
    </row>
    <row r="12" customFormat="false" ht="15" hidden="false" customHeight="true" outlineLevel="0" collapsed="false">
      <c r="A12" s="16" t="s">
        <v>329</v>
      </c>
      <c r="B12" s="53" t="n">
        <v>0.12</v>
      </c>
      <c r="C12" s="53" t="n">
        <v>0.1</v>
      </c>
      <c r="D12" s="53" t="n">
        <v>0.08</v>
      </c>
      <c r="E12" s="54" t="n">
        <f aca="false">CHOOSE($B$3,B12,C12,D12)</f>
        <v>0.1</v>
      </c>
      <c r="F12" s="50" t="s">
        <v>330</v>
      </c>
    </row>
    <row r="13" customFormat="false" ht="15" hidden="false" customHeight="true" outlineLevel="0" collapsed="false">
      <c r="A13" s="16" t="s">
        <v>331</v>
      </c>
      <c r="B13" s="48" t="n">
        <v>5</v>
      </c>
      <c r="C13" s="48" t="n">
        <v>10</v>
      </c>
      <c r="D13" s="48" t="n">
        <v>15</v>
      </c>
      <c r="E13" s="49" t="n">
        <f aca="false">CHOOSE($B$3,B13,C13,D13)</f>
        <v>10</v>
      </c>
      <c r="F13" s="50" t="s">
        <v>332</v>
      </c>
    </row>
    <row r="14" customFormat="false" ht="15" hidden="false" customHeight="true" outlineLevel="0" collapsed="false">
      <c r="A14" s="16" t="s">
        <v>333</v>
      </c>
      <c r="B14" s="48" t="n">
        <v>6</v>
      </c>
      <c r="C14" s="48" t="n">
        <v>12</v>
      </c>
      <c r="D14" s="48" t="n">
        <v>18</v>
      </c>
      <c r="E14" s="49" t="n">
        <f aca="false">CHOOSE($B$3,B14,C14,D14)</f>
        <v>12</v>
      </c>
      <c r="F14" s="50"/>
    </row>
    <row r="15" customFormat="false" ht="15" hidden="false" customHeight="true" outlineLevel="0" collapsed="false">
      <c r="A15" s="16" t="s">
        <v>334</v>
      </c>
      <c r="B15" s="55" t="n">
        <v>13</v>
      </c>
      <c r="C15" s="55" t="n">
        <v>30</v>
      </c>
      <c r="D15" s="55" t="n">
        <v>45</v>
      </c>
      <c r="E15" s="56" t="n">
        <f aca="false">CHOOSE($B$3,B15,C15,D15)</f>
        <v>30</v>
      </c>
      <c r="F15" s="50" t="s">
        <v>335</v>
      </c>
    </row>
    <row r="16" customFormat="false" ht="15" hidden="false" customHeight="true" outlineLevel="0" collapsed="false">
      <c r="A16" s="16" t="s">
        <v>336</v>
      </c>
      <c r="B16" s="55" t="n">
        <v>0.5</v>
      </c>
      <c r="C16" s="55" t="n">
        <v>1.5</v>
      </c>
      <c r="D16" s="55" t="n">
        <v>2.5</v>
      </c>
      <c r="E16" s="56" t="n">
        <f aca="false">CHOOSE($B$3,B16,C16,D16)</f>
        <v>1.5</v>
      </c>
      <c r="F16" s="50"/>
    </row>
    <row r="17" customFormat="false" ht="15" hidden="false" customHeight="true" outlineLevel="0" collapsed="false">
      <c r="A17" s="16" t="s">
        <v>337</v>
      </c>
      <c r="B17" s="53" t="n">
        <v>0.2</v>
      </c>
      <c r="C17" s="53" t="n">
        <v>0.15</v>
      </c>
      <c r="D17" s="53" t="n">
        <v>0.12</v>
      </c>
      <c r="E17" s="54" t="n">
        <f aca="false">CHOOSE($B$3,B17,C17,D17)</f>
        <v>0.15</v>
      </c>
      <c r="F17" s="50" t="s">
        <v>338</v>
      </c>
    </row>
    <row r="18" customFormat="false" ht="15" hidden="false" customHeight="true" outlineLevel="0" collapsed="false">
      <c r="A18" s="16" t="s">
        <v>339</v>
      </c>
      <c r="B18" s="57" t="n">
        <v>2</v>
      </c>
      <c r="C18" s="57" t="n">
        <v>3</v>
      </c>
      <c r="D18" s="57" t="n">
        <v>4</v>
      </c>
      <c r="E18" s="58" t="n">
        <f aca="false">CHOOSE($B$3,B18,C18,D18)</f>
        <v>3</v>
      </c>
      <c r="F18" s="50" t="s">
        <v>340</v>
      </c>
    </row>
    <row r="19" customFormat="false" ht="15" hidden="false" customHeight="true" outlineLevel="0" collapsed="false">
      <c r="A19" s="16" t="s">
        <v>341</v>
      </c>
      <c r="B19" s="59" t="n">
        <v>1.05</v>
      </c>
      <c r="C19" s="59" t="n">
        <v>1</v>
      </c>
      <c r="D19" s="59" t="n">
        <v>1</v>
      </c>
      <c r="E19" s="60" t="n">
        <f aca="false">CHOOSE($B$3,B19,C19,D19)</f>
        <v>1</v>
      </c>
      <c r="F19" s="50" t="s">
        <v>342</v>
      </c>
    </row>
    <row r="21" customFormat="false" ht="15" hidden="false" customHeight="true" outlineLevel="0" collapsed="false">
      <c r="A21" s="29" t="s">
        <v>343</v>
      </c>
    </row>
    <row r="22" customFormat="false" ht="15" hidden="false" customHeight="true" outlineLevel="0" collapsed="false">
      <c r="A22" s="16" t="s">
        <v>344</v>
      </c>
      <c r="B22" s="48" t="n">
        <v>50</v>
      </c>
      <c r="C22" s="50" t="s">
        <v>345</v>
      </c>
    </row>
    <row r="23" customFormat="false" ht="15" hidden="false" customHeight="true" outlineLevel="0" collapsed="false">
      <c r="A23" s="16" t="s">
        <v>346</v>
      </c>
      <c r="B23" s="48" t="n">
        <v>8</v>
      </c>
      <c r="C23" s="50" t="s">
        <v>347</v>
      </c>
    </row>
    <row r="24" customFormat="false" ht="15" hidden="false" customHeight="true" outlineLevel="0" collapsed="false">
      <c r="A24" s="16" t="s">
        <v>348</v>
      </c>
      <c r="B24" s="48" t="n">
        <v>400</v>
      </c>
      <c r="C24" s="50" t="s">
        <v>349</v>
      </c>
    </row>
    <row r="25" customFormat="false" ht="15" hidden="false" customHeight="true" outlineLevel="0" collapsed="false">
      <c r="A25" s="16" t="s">
        <v>350</v>
      </c>
      <c r="B25" s="53" t="n">
        <v>0.366666666666667</v>
      </c>
      <c r="C25" s="50" t="s">
        <v>351</v>
      </c>
    </row>
    <row r="26" customFormat="false" ht="15" hidden="false" customHeight="true" outlineLevel="0" collapsed="false">
      <c r="A26" s="16" t="s">
        <v>352</v>
      </c>
      <c r="B26" s="53" t="n">
        <v>0.08</v>
      </c>
      <c r="C26" s="50" t="s">
        <v>353</v>
      </c>
    </row>
    <row r="27" customFormat="false" ht="15" hidden="false" customHeight="true" outlineLevel="0" collapsed="false">
      <c r="A27" s="16" t="s">
        <v>354</v>
      </c>
      <c r="B27" s="53" t="n">
        <v>0.1</v>
      </c>
      <c r="C27" s="50" t="s">
        <v>355</v>
      </c>
    </row>
    <row r="28" customFormat="false" ht="15" hidden="false" customHeight="true" outlineLevel="0" collapsed="false">
      <c r="A28" s="16" t="s">
        <v>356</v>
      </c>
      <c r="B28" s="48" t="n">
        <v>4</v>
      </c>
      <c r="C28" s="50" t="s">
        <v>357</v>
      </c>
    </row>
    <row r="29" customFormat="false" ht="15" hidden="false" customHeight="true" outlineLevel="0" collapsed="false">
      <c r="A29" s="16" t="s">
        <v>199</v>
      </c>
      <c r="B29" s="53" t="n">
        <v>0.3</v>
      </c>
      <c r="C29" s="50" t="s">
        <v>345</v>
      </c>
    </row>
    <row r="30" customFormat="false" ht="15" hidden="false" customHeight="true" outlineLevel="0" collapsed="false">
      <c r="A30" s="16" t="s">
        <v>358</v>
      </c>
      <c r="B30" s="53" t="n">
        <v>0.03</v>
      </c>
      <c r="C30" s="50"/>
    </row>
    <row r="31" customFormat="false" ht="15" hidden="false" customHeight="true" outlineLevel="0" collapsed="false">
      <c r="A31" s="16" t="s">
        <v>359</v>
      </c>
      <c r="B31" s="53" t="n">
        <v>0.029</v>
      </c>
      <c r="C31" s="50" t="s">
        <v>360</v>
      </c>
    </row>
    <row r="32" customFormat="false" ht="15" hidden="false" customHeight="true" outlineLevel="0" collapsed="false">
      <c r="A32" s="16" t="s">
        <v>361</v>
      </c>
      <c r="B32" s="61" t="n">
        <v>0.3</v>
      </c>
      <c r="C32" s="50"/>
    </row>
    <row r="33" customFormat="false" ht="15" hidden="false" customHeight="true" outlineLevel="0" collapsed="false">
      <c r="A33" s="16" t="s">
        <v>362</v>
      </c>
      <c r="B33" s="53" t="n">
        <v>0.02</v>
      </c>
      <c r="C33" s="50"/>
    </row>
    <row r="34" customFormat="false" ht="15" hidden="false" customHeight="true" outlineLevel="0" collapsed="false">
      <c r="A34" s="16" t="s">
        <v>363</v>
      </c>
      <c r="B34" s="53" t="n">
        <v>0.15</v>
      </c>
      <c r="C34" s="50" t="s">
        <v>364</v>
      </c>
    </row>
    <row r="35" customFormat="false" ht="15" hidden="false" customHeight="true" outlineLevel="0" collapsed="false">
      <c r="A35" s="16" t="s">
        <v>365</v>
      </c>
      <c r="B35" s="48" t="n">
        <v>5</v>
      </c>
      <c r="C35" s="50" t="s">
        <v>366</v>
      </c>
    </row>
    <row r="36" customFormat="false" ht="15" hidden="false" customHeight="true" outlineLevel="0" collapsed="false">
      <c r="A36" s="16" t="s">
        <v>367</v>
      </c>
      <c r="B36" s="55" t="n">
        <v>5</v>
      </c>
      <c r="C36" s="50"/>
    </row>
    <row r="37" customFormat="false" ht="15" hidden="false" customHeight="true" outlineLevel="0" collapsed="false">
      <c r="A37" s="16" t="s">
        <v>368</v>
      </c>
      <c r="B37" s="48" t="n">
        <v>6</v>
      </c>
      <c r="C37" s="50"/>
    </row>
    <row r="38" customFormat="false" ht="15" hidden="false" customHeight="true" outlineLevel="0" collapsed="false">
      <c r="A38" s="16" t="s">
        <v>369</v>
      </c>
      <c r="B38" s="48" t="n">
        <v>4</v>
      </c>
      <c r="C38" s="50"/>
    </row>
    <row r="39" customFormat="false" ht="15" hidden="false" customHeight="true" outlineLevel="0" collapsed="false">
      <c r="A39" s="16" t="s">
        <v>370</v>
      </c>
      <c r="B39" s="61" t="n">
        <v>2.5</v>
      </c>
      <c r="C39" s="50" t="s">
        <v>371</v>
      </c>
    </row>
    <row r="40" customFormat="false" ht="15" hidden="false" customHeight="true" outlineLevel="0" collapsed="false">
      <c r="A40" s="16" t="s">
        <v>372</v>
      </c>
      <c r="B40" s="53" t="n">
        <v>0.5</v>
      </c>
      <c r="C40" s="50" t="s">
        <v>373</v>
      </c>
    </row>
    <row r="41" customFormat="false" ht="15" hidden="false" customHeight="true" outlineLevel="0" collapsed="false">
      <c r="A41" s="16" t="s">
        <v>374</v>
      </c>
      <c r="B41" s="62" t="n">
        <v>1.3</v>
      </c>
      <c r="C41" s="50" t="s">
        <v>375</v>
      </c>
    </row>
    <row r="42" customFormat="false" ht="15" hidden="false" customHeight="true" outlineLevel="0" collapsed="false">
      <c r="A42" s="16" t="s">
        <v>376</v>
      </c>
      <c r="B42" s="48" t="n">
        <v>150</v>
      </c>
      <c r="C42" s="50" t="s">
        <v>377</v>
      </c>
    </row>
    <row r="43" customFormat="false" ht="15" hidden="false" customHeight="true" outlineLevel="0" collapsed="false">
      <c r="A43" s="16" t="s">
        <v>378</v>
      </c>
      <c r="B43" s="63" t="n">
        <v>500</v>
      </c>
      <c r="C43" s="50" t="s">
        <v>379</v>
      </c>
    </row>
    <row r="44" customFormat="false" ht="15" hidden="false" customHeight="true" outlineLevel="0" collapsed="false">
      <c r="A44" s="16" t="s">
        <v>380</v>
      </c>
      <c r="B44" s="63" t="n">
        <v>1000</v>
      </c>
      <c r="C44" s="50"/>
    </row>
    <row r="45" customFormat="false" ht="15" hidden="false" customHeight="true" outlineLevel="0" collapsed="false">
      <c r="A45" s="16" t="s">
        <v>381</v>
      </c>
      <c r="B45" s="63" t="n">
        <v>1500</v>
      </c>
      <c r="C45" s="50"/>
    </row>
    <row r="46" customFormat="false" ht="15" hidden="false" customHeight="true" outlineLevel="0" collapsed="false">
      <c r="A46" s="16" t="s">
        <v>382</v>
      </c>
      <c r="B46" s="63" t="n">
        <v>150</v>
      </c>
      <c r="C46" s="50" t="s">
        <v>383</v>
      </c>
    </row>
    <row r="47" customFormat="false" ht="15" hidden="false" customHeight="true" outlineLevel="0" collapsed="false">
      <c r="A47" s="16" t="s">
        <v>384</v>
      </c>
      <c r="B47" s="63" t="n">
        <v>500</v>
      </c>
      <c r="C47" s="50" t="s">
        <v>385</v>
      </c>
    </row>
    <row r="48" customFormat="false" ht="15" hidden="false" customHeight="true" outlineLevel="0" collapsed="false">
      <c r="A48" s="16" t="s">
        <v>386</v>
      </c>
      <c r="B48" s="63" t="n">
        <v>300</v>
      </c>
      <c r="C48" s="50"/>
    </row>
    <row r="49" customFormat="false" ht="15" hidden="false" customHeight="true" outlineLevel="0" collapsed="false">
      <c r="A49" s="16" t="s">
        <v>387</v>
      </c>
      <c r="B49" s="53" t="n">
        <v>0</v>
      </c>
      <c r="C49" s="50" t="s">
        <v>388</v>
      </c>
    </row>
    <row r="50" customFormat="false" ht="15" hidden="false" customHeight="true" outlineLevel="0" collapsed="false">
      <c r="A50" s="16" t="s">
        <v>389</v>
      </c>
      <c r="B50" s="53" t="n">
        <v>0.25</v>
      </c>
      <c r="C50" s="50" t="s">
        <v>390</v>
      </c>
    </row>
    <row r="51" customFormat="false" ht="15" hidden="false" customHeight="true" outlineLevel="0" collapsed="false">
      <c r="A51" s="16" t="s">
        <v>391</v>
      </c>
      <c r="B51" s="63" t="n">
        <v>20000</v>
      </c>
      <c r="C51" s="50" t="s">
        <v>392</v>
      </c>
    </row>
    <row r="52" customFormat="false" ht="15" hidden="false" customHeight="true" outlineLevel="0" collapsed="false">
      <c r="A52" s="16" t="s">
        <v>393</v>
      </c>
      <c r="B52" s="63" t="n">
        <v>5000</v>
      </c>
      <c r="C52" s="50" t="s">
        <v>394</v>
      </c>
    </row>
    <row r="53" customFormat="false" ht="15" hidden="false" customHeight="true" outlineLevel="0" collapsed="false">
      <c r="A53" s="16" t="s">
        <v>395</v>
      </c>
      <c r="B53" s="63" t="n">
        <v>2249</v>
      </c>
      <c r="C53" s="50" t="s">
        <v>396</v>
      </c>
    </row>
    <row r="54" customFormat="false" ht="15" hidden="false" customHeight="true" outlineLevel="0" collapsed="false">
      <c r="A54" s="16" t="s">
        <v>397</v>
      </c>
      <c r="B54" s="63" t="n">
        <v>350</v>
      </c>
      <c r="C54" s="50" t="s">
        <v>398</v>
      </c>
    </row>
    <row r="56" customFormat="false" ht="15" hidden="false" customHeight="true" outlineLevel="0" collapsed="false">
      <c r="A56" s="29" t="s">
        <v>399</v>
      </c>
    </row>
    <row r="57" customFormat="false" ht="15" hidden="false" customHeight="true" outlineLevel="0" collapsed="false">
      <c r="A57" s="15" t="s">
        <v>85</v>
      </c>
      <c r="B57" s="15" t="s">
        <v>400</v>
      </c>
      <c r="C57" s="15" t="s">
        <v>86</v>
      </c>
      <c r="D57" s="15" t="s">
        <v>401</v>
      </c>
      <c r="E57" s="15" t="s">
        <v>402</v>
      </c>
      <c r="F57" s="15" t="s">
        <v>403</v>
      </c>
      <c r="G57" s="15" t="s">
        <v>404</v>
      </c>
      <c r="H57" s="15" t="s">
        <v>405</v>
      </c>
      <c r="I57" s="15" t="s">
        <v>406</v>
      </c>
      <c r="J57" s="15" t="s">
        <v>407</v>
      </c>
      <c r="K57" s="15" t="s">
        <v>408</v>
      </c>
      <c r="L57" s="15" t="s">
        <v>409</v>
      </c>
      <c r="M57" s="15" t="s">
        <v>410</v>
      </c>
      <c r="N57" s="15" t="s">
        <v>411</v>
      </c>
      <c r="O57" s="15" t="s">
        <v>412</v>
      </c>
    </row>
    <row r="58" customFormat="false" ht="15" hidden="false" customHeight="true" outlineLevel="0" collapsed="false">
      <c r="A58" s="14" t="s">
        <v>413</v>
      </c>
      <c r="H58" s="48" t="n">
        <v>150</v>
      </c>
      <c r="I58" s="48" t="n">
        <v>300</v>
      </c>
      <c r="J58" s="48" t="n">
        <v>500</v>
      </c>
      <c r="K58" s="48" t="n">
        <v>1000</v>
      </c>
      <c r="L58" s="48" t="n">
        <v>2500</v>
      </c>
      <c r="M58" s="48" t="n">
        <v>5000</v>
      </c>
      <c r="N58" s="48" t="n">
        <v>7500</v>
      </c>
      <c r="O58" s="48" t="n">
        <v>10000</v>
      </c>
    </row>
    <row r="59" customFormat="false" ht="15" hidden="false" customHeight="true" outlineLevel="0" collapsed="false">
      <c r="A59" s="27" t="s">
        <v>95</v>
      </c>
      <c r="B59" s="64" t="s">
        <v>414</v>
      </c>
      <c r="C59" s="61" t="n">
        <v>39.95</v>
      </c>
      <c r="D59" s="61" t="n">
        <v>4.5</v>
      </c>
      <c r="E59" s="61" t="n">
        <v>6.55</v>
      </c>
      <c r="F59" s="53" t="n">
        <v>0.35</v>
      </c>
      <c r="G59" s="48" t="n">
        <v>1000</v>
      </c>
      <c r="H59" s="61" t="n">
        <v>8.52</v>
      </c>
      <c r="I59" s="61" t="n">
        <v>8.37</v>
      </c>
      <c r="J59" s="61" t="n">
        <v>8.12</v>
      </c>
      <c r="K59" s="61" t="n">
        <v>7.97</v>
      </c>
      <c r="L59" s="61" t="n">
        <v>7.82</v>
      </c>
      <c r="M59" s="61" t="n">
        <v>7.67</v>
      </c>
      <c r="N59" s="61" t="n">
        <v>7.42</v>
      </c>
      <c r="O59" s="61" t="n">
        <v>7.12</v>
      </c>
    </row>
    <row r="60" customFormat="false" ht="15" hidden="false" customHeight="true" outlineLevel="0" collapsed="false">
      <c r="A60" s="27" t="s">
        <v>96</v>
      </c>
      <c r="B60" s="64" t="s">
        <v>415</v>
      </c>
      <c r="C60" s="61" t="n">
        <v>34.95</v>
      </c>
      <c r="D60" s="61" t="n">
        <v>3.5</v>
      </c>
      <c r="E60" s="61" t="n">
        <v>5.4</v>
      </c>
      <c r="F60" s="53" t="n">
        <v>0.15</v>
      </c>
      <c r="G60" s="48" t="n">
        <v>400</v>
      </c>
      <c r="H60" s="61" t="n">
        <v>8.34</v>
      </c>
      <c r="I60" s="61" t="n">
        <v>7.99</v>
      </c>
      <c r="J60" s="61" t="n">
        <v>7.64</v>
      </c>
      <c r="K60" s="61" t="n">
        <v>7.44</v>
      </c>
      <c r="L60" s="61" t="n">
        <v>7.24</v>
      </c>
      <c r="M60" s="61" t="n">
        <v>6.94</v>
      </c>
      <c r="N60" s="61" t="n">
        <v>6.74</v>
      </c>
      <c r="O60" s="61" t="n">
        <v>6.59</v>
      </c>
    </row>
    <row r="61" customFormat="false" ht="15" hidden="false" customHeight="true" outlineLevel="0" collapsed="false">
      <c r="A61" s="27" t="s">
        <v>97</v>
      </c>
      <c r="B61" s="64" t="s">
        <v>416</v>
      </c>
      <c r="C61" s="61" t="n">
        <v>29.95</v>
      </c>
      <c r="D61" s="61" t="n">
        <v>3.5</v>
      </c>
      <c r="E61" s="61" t="n">
        <v>5.4</v>
      </c>
      <c r="F61" s="53" t="n">
        <v>0.25</v>
      </c>
      <c r="G61" s="48" t="n">
        <v>1000</v>
      </c>
      <c r="H61" s="61" t="n">
        <v>5.51</v>
      </c>
      <c r="I61" s="61" t="n">
        <v>5.16</v>
      </c>
      <c r="J61" s="61" t="n">
        <v>4.81</v>
      </c>
      <c r="K61" s="61" t="n">
        <v>4.61</v>
      </c>
      <c r="L61" s="61" t="n">
        <v>4.41</v>
      </c>
      <c r="M61" s="61" t="n">
        <v>4.11</v>
      </c>
      <c r="N61" s="61" t="n">
        <v>3.91</v>
      </c>
      <c r="O61" s="61" t="n">
        <v>3.76</v>
      </c>
    </row>
    <row r="62" customFormat="false" ht="15" hidden="false" customHeight="true" outlineLevel="0" collapsed="false">
      <c r="A62" s="27" t="s">
        <v>98</v>
      </c>
      <c r="B62" s="64" t="s">
        <v>417</v>
      </c>
      <c r="C62" s="61" t="n">
        <v>29.95</v>
      </c>
      <c r="D62" s="61" t="n">
        <v>5.5</v>
      </c>
      <c r="E62" s="61" t="n">
        <v>6.55</v>
      </c>
      <c r="F62" s="53" t="n">
        <v>0.25</v>
      </c>
      <c r="G62" s="48" t="n">
        <v>200</v>
      </c>
      <c r="H62" s="61" t="n">
        <v>6.9</v>
      </c>
      <c r="I62" s="61" t="n">
        <v>6.75</v>
      </c>
      <c r="J62" s="61" t="n">
        <v>6.5</v>
      </c>
      <c r="K62" s="61" t="n">
        <v>6.35</v>
      </c>
      <c r="L62" s="61" t="n">
        <v>6.2</v>
      </c>
      <c r="M62" s="61" t="n">
        <v>6.05</v>
      </c>
      <c r="N62" s="61" t="n">
        <v>5.8</v>
      </c>
      <c r="O62" s="61" t="n">
        <v>5.5</v>
      </c>
    </row>
    <row r="63" customFormat="false" ht="15" hidden="false" customHeight="true" outlineLevel="0" collapsed="false">
      <c r="A63" s="14" t="s">
        <v>418</v>
      </c>
    </row>
    <row r="65" customFormat="false" ht="15" hidden="false" customHeight="true" outlineLevel="0" collapsed="false">
      <c r="A65" s="29" t="s">
        <v>419</v>
      </c>
    </row>
    <row r="66" customFormat="false" ht="15" hidden="false" customHeight="true" outlineLevel="0" collapsed="false">
      <c r="A66" s="15" t="s">
        <v>100</v>
      </c>
      <c r="B66" s="15" t="s">
        <v>101</v>
      </c>
      <c r="C66" s="15" t="s">
        <v>420</v>
      </c>
      <c r="D66" s="15" t="s">
        <v>103</v>
      </c>
      <c r="E66" s="15" t="s">
        <v>421</v>
      </c>
      <c r="F66" s="15" t="s">
        <v>422</v>
      </c>
      <c r="G66" s="15" t="s">
        <v>423</v>
      </c>
      <c r="H66" s="15" t="s">
        <v>424</v>
      </c>
    </row>
    <row r="67" customFormat="false" ht="15" hidden="false" customHeight="true" outlineLevel="0" collapsed="false">
      <c r="A67" s="16" t="s">
        <v>425</v>
      </c>
      <c r="B67" s="61" t="n">
        <v>59.95</v>
      </c>
      <c r="C67" s="61" t="n">
        <v>5.5</v>
      </c>
      <c r="D67" s="53" t="n">
        <v>0.35</v>
      </c>
      <c r="E67" s="48" t="n">
        <v>1</v>
      </c>
      <c r="F67" s="48" t="n">
        <v>0</v>
      </c>
      <c r="G67" s="48" t="n">
        <v>1</v>
      </c>
      <c r="H67" s="48" t="n">
        <v>0</v>
      </c>
    </row>
    <row r="68" customFormat="false" ht="15" hidden="false" customHeight="true" outlineLevel="0" collapsed="false">
      <c r="A68" s="16" t="s">
        <v>426</v>
      </c>
      <c r="B68" s="61" t="n">
        <v>64.95</v>
      </c>
      <c r="C68" s="61" t="n">
        <v>5.5</v>
      </c>
      <c r="D68" s="53" t="n">
        <v>0.1</v>
      </c>
      <c r="E68" s="48" t="n">
        <v>1</v>
      </c>
      <c r="F68" s="48" t="n">
        <v>1</v>
      </c>
      <c r="G68" s="48" t="n">
        <v>0</v>
      </c>
      <c r="H68" s="48" t="n">
        <v>0</v>
      </c>
    </row>
    <row r="69" customFormat="false" ht="15" hidden="false" customHeight="true" outlineLevel="0" collapsed="false">
      <c r="A69" s="16" t="s">
        <v>427</v>
      </c>
      <c r="B69" s="61" t="n">
        <v>114.95</v>
      </c>
      <c r="C69" s="61" t="n">
        <v>8.5</v>
      </c>
      <c r="D69" s="53" t="n">
        <v>0.05</v>
      </c>
      <c r="E69" s="48" t="n">
        <v>1</v>
      </c>
      <c r="F69" s="48" t="n">
        <v>1</v>
      </c>
      <c r="G69" s="48" t="n">
        <v>1</v>
      </c>
      <c r="H69" s="48" t="n">
        <v>1</v>
      </c>
    </row>
    <row r="70" customFormat="false" ht="15" hidden="false" customHeight="true" outlineLevel="0" collapsed="false">
      <c r="A70" s="16" t="s">
        <v>95</v>
      </c>
      <c r="B70" s="61" t="n">
        <v>39.95</v>
      </c>
      <c r="C70" s="61" t="n">
        <v>4.5</v>
      </c>
      <c r="D70" s="53" t="n">
        <v>0.2</v>
      </c>
      <c r="E70" s="48" t="n">
        <v>1</v>
      </c>
      <c r="F70" s="48" t="n">
        <v>0</v>
      </c>
      <c r="G70" s="48" t="n">
        <v>0</v>
      </c>
      <c r="H70" s="48" t="n">
        <v>0</v>
      </c>
    </row>
    <row r="71" customFormat="false" ht="15" hidden="false" customHeight="true" outlineLevel="0" collapsed="false">
      <c r="A71" s="16" t="s">
        <v>96</v>
      </c>
      <c r="B71" s="61" t="n">
        <v>34.95</v>
      </c>
      <c r="C71" s="61" t="n">
        <v>3.5</v>
      </c>
      <c r="D71" s="53" t="n">
        <v>0.12</v>
      </c>
      <c r="E71" s="48" t="n">
        <v>0</v>
      </c>
      <c r="F71" s="48" t="n">
        <v>1</v>
      </c>
      <c r="G71" s="48" t="n">
        <v>0</v>
      </c>
      <c r="H71" s="48" t="n">
        <v>0</v>
      </c>
    </row>
    <row r="72" customFormat="false" ht="15" hidden="false" customHeight="true" outlineLevel="0" collapsed="false">
      <c r="A72" s="16" t="s">
        <v>97</v>
      </c>
      <c r="B72" s="61" t="n">
        <v>29.95</v>
      </c>
      <c r="C72" s="61" t="n">
        <v>3.5</v>
      </c>
      <c r="D72" s="53" t="n">
        <v>0.1</v>
      </c>
      <c r="E72" s="48" t="n">
        <v>0</v>
      </c>
      <c r="F72" s="48" t="n">
        <v>0</v>
      </c>
      <c r="G72" s="48" t="n">
        <v>1</v>
      </c>
      <c r="H72" s="48" t="n">
        <v>0</v>
      </c>
    </row>
    <row r="73" customFormat="false" ht="15" hidden="false" customHeight="true" outlineLevel="0" collapsed="false">
      <c r="A73" s="16" t="s">
        <v>98</v>
      </c>
      <c r="B73" s="61" t="n">
        <v>29.95</v>
      </c>
      <c r="C73" s="61" t="n">
        <v>5.5</v>
      </c>
      <c r="D73" s="53" t="n">
        <v>0.08</v>
      </c>
      <c r="E73" s="48" t="n">
        <v>0</v>
      </c>
      <c r="F73" s="48" t="n">
        <v>0</v>
      </c>
      <c r="G73" s="48" t="n">
        <v>0</v>
      </c>
      <c r="H73" s="48" t="n">
        <v>1</v>
      </c>
    </row>
    <row r="74" customFormat="false" ht="15" hidden="false" customHeight="true" outlineLevel="0" collapsed="false">
      <c r="A74" s="27" t="s">
        <v>104</v>
      </c>
      <c r="B74" s="31" t="n">
        <f aca="false">SUMPRODUCT(B67:B73,$D$67:$D$73)</f>
        <v>50.8</v>
      </c>
      <c r="C74" s="31" t="n">
        <f aca="false">SUMPRODUCT(C67:C73,$D$67:$D$73)</f>
        <v>5.01</v>
      </c>
      <c r="D74" s="65" t="n">
        <f aca="false">SUM(D67:D73)</f>
        <v>1</v>
      </c>
      <c r="E74" s="66" t="n">
        <f aca="false">SUMPRODUCT(E67:E73,$D$67:$D$73)</f>
        <v>0.7</v>
      </c>
      <c r="F74" s="66" t="n">
        <f aca="false">SUMPRODUCT(F67:F73,$D$67:$D$73)</f>
        <v>0.27</v>
      </c>
      <c r="G74" s="66" t="n">
        <f aca="false">SUMPRODUCT(G67:G73,$D$67:$D$73)</f>
        <v>0.5</v>
      </c>
      <c r="H74" s="66" t="n">
        <f aca="false">SUMPRODUCT(H67:H73,$D$67:$D$73)</f>
        <v>0.13</v>
      </c>
      <c r="I74" s="14" t="s">
        <v>428</v>
      </c>
    </row>
    <row r="76" customFormat="false" ht="15" hidden="false" customHeight="true" outlineLevel="0" collapsed="false">
      <c r="A76" s="29" t="s">
        <v>429</v>
      </c>
    </row>
    <row r="77" customFormat="false" ht="15" hidden="false" customHeight="true" outlineLevel="0" collapsed="false">
      <c r="A77" s="15" t="s">
        <v>106</v>
      </c>
      <c r="B77" s="15" t="s">
        <v>107</v>
      </c>
      <c r="C77" s="15" t="s">
        <v>430</v>
      </c>
      <c r="D77" s="15" t="s">
        <v>431</v>
      </c>
      <c r="E77" s="15" t="s">
        <v>421</v>
      </c>
      <c r="F77" s="15" t="s">
        <v>422</v>
      </c>
      <c r="G77" s="15" t="s">
        <v>423</v>
      </c>
      <c r="H77" s="15" t="s">
        <v>424</v>
      </c>
    </row>
    <row r="78" customFormat="false" ht="15" hidden="false" customHeight="true" outlineLevel="0" collapsed="false">
      <c r="A78" s="16" t="s">
        <v>432</v>
      </c>
      <c r="B78" s="61" t="n">
        <v>54.95</v>
      </c>
      <c r="C78" s="61" t="n">
        <v>5.5</v>
      </c>
      <c r="D78" s="53" t="n">
        <v>0.6</v>
      </c>
      <c r="E78" s="62" t="n">
        <v>1</v>
      </c>
      <c r="F78" s="62" t="n">
        <v>0</v>
      </c>
      <c r="G78" s="62" t="n">
        <v>1</v>
      </c>
      <c r="H78" s="62" t="n">
        <v>0</v>
      </c>
    </row>
    <row r="79" customFormat="false" ht="15" hidden="false" customHeight="true" outlineLevel="0" collapsed="false">
      <c r="A79" s="16" t="s">
        <v>433</v>
      </c>
      <c r="B79" s="61" t="n">
        <v>59.95</v>
      </c>
      <c r="C79" s="61" t="n">
        <v>5.5</v>
      </c>
      <c r="D79" s="53" t="n">
        <v>0.25</v>
      </c>
      <c r="E79" s="62" t="n">
        <v>1</v>
      </c>
      <c r="F79" s="62" t="n">
        <v>1</v>
      </c>
      <c r="G79" s="62" t="n">
        <v>0</v>
      </c>
      <c r="H79" s="62" t="n">
        <v>0</v>
      </c>
    </row>
    <row r="80" customFormat="false" ht="15" hidden="false" customHeight="true" outlineLevel="0" collapsed="false">
      <c r="A80" s="16" t="s">
        <v>434</v>
      </c>
      <c r="B80" s="61" t="n">
        <v>99.95</v>
      </c>
      <c r="C80" s="61" t="n">
        <v>7.5</v>
      </c>
      <c r="D80" s="53" t="n">
        <v>0.15</v>
      </c>
      <c r="E80" s="62" t="n">
        <v>1</v>
      </c>
      <c r="F80" s="62" t="n">
        <v>1</v>
      </c>
      <c r="G80" s="62" t="n">
        <v>1</v>
      </c>
      <c r="H80" s="62" t="n">
        <v>0.5</v>
      </c>
    </row>
    <row r="81" customFormat="false" ht="15" hidden="false" customHeight="true" outlineLevel="0" collapsed="false">
      <c r="A81" s="27" t="s">
        <v>113</v>
      </c>
      <c r="B81" s="31" t="n">
        <f aca="false">SUMPRODUCT(B78:B80,$D$78:$D$80)</f>
        <v>62.95</v>
      </c>
      <c r="C81" s="31" t="n">
        <f aca="false">SUMPRODUCT(C78:C80,$D$78:$D$80)</f>
        <v>5.8</v>
      </c>
      <c r="D81" s="65" t="n">
        <f aca="false">SUM(D78:D80)</f>
        <v>1</v>
      </c>
      <c r="E81" s="66" t="n">
        <f aca="false">SUMPRODUCT(E78:E80,$D$78:$D$80)</f>
        <v>1</v>
      </c>
      <c r="F81" s="66" t="n">
        <f aca="false">SUMPRODUCT(F78:F80,$D$78:$D$80)</f>
        <v>0.4</v>
      </c>
      <c r="G81" s="66" t="n">
        <f aca="false">SUMPRODUCT(G78:G80,$D$78:$D$80)</f>
        <v>0.75</v>
      </c>
      <c r="H81" s="66" t="n">
        <f aca="false">SUMPRODUCT(H78:H80,$D$78:$D$80)</f>
        <v>0.075</v>
      </c>
    </row>
    <row r="83" customFormat="false" ht="15" hidden="false" customHeight="true" outlineLevel="0" collapsed="false">
      <c r="A83" s="27" t="s">
        <v>435</v>
      </c>
      <c r="B83" s="31" t="n">
        <f aca="false">SUMPRODUCT(C59:C62,F59:F62)</f>
        <v>34.2</v>
      </c>
    </row>
    <row r="84" customFormat="false" ht="15" hidden="false" customHeight="true" outlineLevel="0" collapsed="false">
      <c r="A84" s="27" t="s">
        <v>436</v>
      </c>
      <c r="B84" s="31" t="n">
        <f aca="false">SUMPRODUCT(E59:E62,F59:F62)</f>
        <v>6.09</v>
      </c>
    </row>
    <row r="86" customFormat="false" ht="15" hidden="false" customHeight="true" outlineLevel="0" collapsed="false">
      <c r="A86" s="29" t="s">
        <v>437</v>
      </c>
    </row>
    <row r="87" customFormat="false" ht="15" hidden="false" customHeight="true" outlineLevel="0" collapsed="false">
      <c r="A87" s="16" t="s">
        <v>438</v>
      </c>
      <c r="B87" s="67" t="n">
        <v>1.1</v>
      </c>
      <c r="C87" s="14" t="s">
        <v>439</v>
      </c>
    </row>
    <row r="88" customFormat="false" ht="15" hidden="false" customHeight="true" outlineLevel="0" collapsed="false">
      <c r="A88" s="16" t="s">
        <v>440</v>
      </c>
      <c r="B88" s="67" t="n">
        <v>1</v>
      </c>
    </row>
    <row r="89" customFormat="false" ht="15" hidden="false" customHeight="true" outlineLevel="0" collapsed="false">
      <c r="A89" s="16" t="s">
        <v>441</v>
      </c>
      <c r="B89" s="67" t="n">
        <v>1</v>
      </c>
    </row>
    <row r="90" customFormat="false" ht="15" hidden="false" customHeight="true" outlineLevel="0" collapsed="false">
      <c r="A90" s="16" t="s">
        <v>442</v>
      </c>
      <c r="B90" s="67" t="n">
        <v>1</v>
      </c>
    </row>
    <row r="91" customFormat="false" ht="15" hidden="false" customHeight="true" outlineLevel="0" collapsed="false">
      <c r="A91" s="16" t="s">
        <v>443</v>
      </c>
      <c r="B91" s="67" t="n">
        <v>1</v>
      </c>
    </row>
    <row r="92" customFormat="false" ht="15" hidden="false" customHeight="true" outlineLevel="0" collapsed="false">
      <c r="A92" s="16" t="s">
        <v>444</v>
      </c>
      <c r="B92" s="67" t="n">
        <v>1</v>
      </c>
    </row>
    <row r="93" customFormat="false" ht="15" hidden="false" customHeight="true" outlineLevel="0" collapsed="false">
      <c r="A93" s="16" t="s">
        <v>445</v>
      </c>
      <c r="B93" s="67" t="n">
        <v>1</v>
      </c>
    </row>
    <row r="94" customFormat="false" ht="15" hidden="false" customHeight="true" outlineLevel="0" collapsed="false">
      <c r="A94" s="16" t="s">
        <v>446</v>
      </c>
      <c r="B94" s="67" t="n">
        <v>1</v>
      </c>
    </row>
    <row r="95" customFormat="false" ht="15" hidden="false" customHeight="true" outlineLevel="0" collapsed="false">
      <c r="A95" s="16" t="s">
        <v>447</v>
      </c>
      <c r="B95" s="67" t="n">
        <v>1</v>
      </c>
    </row>
    <row r="96" customFormat="false" ht="15" hidden="false" customHeight="true" outlineLevel="0" collapsed="false">
      <c r="A96" s="16" t="s">
        <v>448</v>
      </c>
      <c r="B96" s="67" t="n">
        <v>1</v>
      </c>
    </row>
    <row r="97" customFormat="false" ht="15" hidden="false" customHeight="true" outlineLevel="0" collapsed="false">
      <c r="A97" s="16" t="s">
        <v>449</v>
      </c>
      <c r="B97" s="67" t="n">
        <v>1.15</v>
      </c>
    </row>
    <row r="98" customFormat="false" ht="15" hidden="false" customHeight="true" outlineLevel="0" collapsed="false">
      <c r="A98" s="16" t="s">
        <v>450</v>
      </c>
      <c r="B98" s="67" t="n">
        <v>1.15</v>
      </c>
    </row>
    <row r="100" customFormat="false" ht="15" hidden="false" customHeight="true" outlineLevel="0" collapsed="false">
      <c r="A100" s="29" t="s">
        <v>451</v>
      </c>
    </row>
    <row r="101" customFormat="false" ht="15" hidden="false" customHeight="true" outlineLevel="0" collapsed="false">
      <c r="A101" s="15" t="s">
        <v>452</v>
      </c>
      <c r="B101" s="15" t="s">
        <v>453</v>
      </c>
      <c r="C101" s="15" t="s">
        <v>454</v>
      </c>
    </row>
    <row r="102" customFormat="false" ht="15" hidden="false" customHeight="true" outlineLevel="0" collapsed="false">
      <c r="A102" s="16" t="s">
        <v>455</v>
      </c>
      <c r="B102" s="63" t="n">
        <v>4000</v>
      </c>
      <c r="C102" s="48" t="n">
        <v>5</v>
      </c>
      <c r="D102" s="14" t="s">
        <v>456</v>
      </c>
    </row>
    <row r="103" customFormat="false" ht="15" hidden="false" customHeight="true" outlineLevel="0" collapsed="false">
      <c r="A103" s="16" t="s">
        <v>457</v>
      </c>
      <c r="B103" s="63" t="n">
        <v>3000</v>
      </c>
      <c r="C103" s="48" t="n">
        <v>6</v>
      </c>
    </row>
    <row r="104" customFormat="false" ht="15" hidden="false" customHeight="true" outlineLevel="0" collapsed="false">
      <c r="A104" s="16" t="s">
        <v>458</v>
      </c>
      <c r="B104" s="63" t="n">
        <v>5000</v>
      </c>
      <c r="C104" s="48" t="n">
        <v>10</v>
      </c>
    </row>
    <row r="105" customFormat="false" ht="15" hidden="false" customHeight="true" outlineLevel="0" collapsed="false">
      <c r="A105" s="16" t="s">
        <v>459</v>
      </c>
      <c r="B105" s="63" t="n">
        <v>4000</v>
      </c>
      <c r="C105" s="48" t="n">
        <v>13</v>
      </c>
    </row>
    <row r="106" customFormat="false" ht="15" hidden="false" customHeight="true" outlineLevel="0" collapsed="false">
      <c r="A106" s="16" t="s">
        <v>460</v>
      </c>
      <c r="B106" s="63" t="n">
        <v>3000</v>
      </c>
      <c r="C106" s="48" t="n">
        <v>16</v>
      </c>
    </row>
    <row r="107" customFormat="false" ht="15" hidden="false" customHeight="true" outlineLevel="0" collapsed="false">
      <c r="A107" s="16" t="s">
        <v>461</v>
      </c>
      <c r="B107" s="63" t="n">
        <v>2000</v>
      </c>
      <c r="C107" s="48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2" width="46"/>
    <col collapsed="false" customWidth="true" hidden="false" outlineLevel="0" max="2" min="2" style="12" width="4"/>
    <col collapsed="false" customWidth="true" hidden="false" outlineLevel="0" max="39" min="3" style="12" width="11.5"/>
  </cols>
  <sheetData>
    <row r="1" customFormat="false" ht="17.25" hidden="false" customHeight="true" outlineLevel="0" collapsed="false">
      <c r="A1" s="13" t="s">
        <v>462</v>
      </c>
    </row>
    <row r="2" customFormat="false" ht="15" hidden="false" customHeight="true" outlineLevel="0" collapsed="false">
      <c r="A2" s="15" t="s">
        <v>463</v>
      </c>
      <c r="B2" s="15"/>
      <c r="C2" s="68" t="n">
        <v>0</v>
      </c>
      <c r="D2" s="68" t="n">
        <f aca="false">C2+1</f>
        <v>1</v>
      </c>
      <c r="E2" s="68" t="n">
        <f aca="false">D2+1</f>
        <v>2</v>
      </c>
      <c r="F2" s="68" t="n">
        <f aca="false">E2+1</f>
        <v>3</v>
      </c>
      <c r="G2" s="68" t="n">
        <f aca="false">F2+1</f>
        <v>4</v>
      </c>
      <c r="H2" s="68" t="n">
        <f aca="false">G2+1</f>
        <v>5</v>
      </c>
      <c r="I2" s="68" t="n">
        <f aca="false">H2+1</f>
        <v>6</v>
      </c>
      <c r="J2" s="68" t="n">
        <f aca="false">I2+1</f>
        <v>7</v>
      </c>
      <c r="K2" s="68" t="n">
        <f aca="false">J2+1</f>
        <v>8</v>
      </c>
      <c r="L2" s="68" t="n">
        <f aca="false">K2+1</f>
        <v>9</v>
      </c>
      <c r="M2" s="68" t="n">
        <f aca="false">L2+1</f>
        <v>10</v>
      </c>
      <c r="N2" s="68" t="n">
        <f aca="false">M2+1</f>
        <v>11</v>
      </c>
      <c r="O2" s="68" t="n">
        <f aca="false">N2+1</f>
        <v>12</v>
      </c>
      <c r="P2" s="68" t="n">
        <f aca="false">O2+1</f>
        <v>13</v>
      </c>
      <c r="Q2" s="68" t="n">
        <f aca="false">P2+1</f>
        <v>14</v>
      </c>
      <c r="R2" s="68" t="n">
        <f aca="false">Q2+1</f>
        <v>15</v>
      </c>
      <c r="S2" s="68" t="n">
        <f aca="false">R2+1</f>
        <v>16</v>
      </c>
      <c r="T2" s="68" t="n">
        <f aca="false">S2+1</f>
        <v>17</v>
      </c>
      <c r="U2" s="68" t="n">
        <f aca="false">T2+1</f>
        <v>18</v>
      </c>
      <c r="V2" s="68" t="n">
        <f aca="false">U2+1</f>
        <v>19</v>
      </c>
      <c r="W2" s="68" t="n">
        <f aca="false">V2+1</f>
        <v>20</v>
      </c>
      <c r="X2" s="68" t="n">
        <f aca="false">W2+1</f>
        <v>21</v>
      </c>
      <c r="Y2" s="68" t="n">
        <f aca="false">X2+1</f>
        <v>22</v>
      </c>
      <c r="Z2" s="68" t="n">
        <f aca="false">Y2+1</f>
        <v>23</v>
      </c>
      <c r="AA2" s="68" t="n">
        <f aca="false">Z2+1</f>
        <v>24</v>
      </c>
      <c r="AB2" s="68" t="n">
        <f aca="false">AA2+1</f>
        <v>25</v>
      </c>
      <c r="AC2" s="68" t="n">
        <f aca="false">AB2+1</f>
        <v>26</v>
      </c>
      <c r="AD2" s="68" t="n">
        <f aca="false">AC2+1</f>
        <v>27</v>
      </c>
      <c r="AE2" s="68" t="n">
        <f aca="false">AD2+1</f>
        <v>28</v>
      </c>
      <c r="AF2" s="68" t="n">
        <f aca="false">AE2+1</f>
        <v>29</v>
      </c>
      <c r="AG2" s="68" t="n">
        <f aca="false">AF2+1</f>
        <v>30</v>
      </c>
      <c r="AH2" s="68" t="n">
        <f aca="false">AG2+1</f>
        <v>31</v>
      </c>
      <c r="AI2" s="68" t="n">
        <f aca="false">AH2+1</f>
        <v>32</v>
      </c>
      <c r="AJ2" s="68" t="n">
        <f aca="false">AI2+1</f>
        <v>33</v>
      </c>
      <c r="AK2" s="68" t="n">
        <f aca="false">AJ2+1</f>
        <v>34</v>
      </c>
      <c r="AL2" s="68" t="n">
        <f aca="false">AK2+1</f>
        <v>35</v>
      </c>
      <c r="AM2" s="68" t="n">
        <f aca="false">AL2+1</f>
        <v>36</v>
      </c>
    </row>
    <row r="3" customFormat="false" ht="15" hidden="false" customHeight="true" outlineLevel="0" collapsed="false">
      <c r="A3" s="15" t="s">
        <v>464</v>
      </c>
      <c r="B3" s="15"/>
      <c r="C3" s="69" t="n">
        <f aca="false">DATE(2026,10+C2,1)</f>
        <v>46296</v>
      </c>
      <c r="D3" s="69" t="n">
        <f aca="false">DATE(2026,10+D2,1)</f>
        <v>46327</v>
      </c>
      <c r="E3" s="69" t="n">
        <f aca="false">DATE(2026,10+E2,1)</f>
        <v>46357</v>
      </c>
      <c r="F3" s="69" t="n">
        <f aca="false">DATE(2026,10+F2,1)</f>
        <v>46388</v>
      </c>
      <c r="G3" s="69" t="n">
        <f aca="false">DATE(2026,10+G2,1)</f>
        <v>46419</v>
      </c>
      <c r="H3" s="69" t="n">
        <f aca="false">DATE(2026,10+H2,1)</f>
        <v>46447</v>
      </c>
      <c r="I3" s="69" t="n">
        <f aca="false">DATE(2026,10+I2,1)</f>
        <v>46478</v>
      </c>
      <c r="J3" s="69" t="n">
        <f aca="false">DATE(2026,10+J2,1)</f>
        <v>46508</v>
      </c>
      <c r="K3" s="69" t="n">
        <f aca="false">DATE(2026,10+K2,1)</f>
        <v>46539</v>
      </c>
      <c r="L3" s="69" t="n">
        <f aca="false">DATE(2026,10+L2,1)</f>
        <v>46569</v>
      </c>
      <c r="M3" s="69" t="n">
        <f aca="false">DATE(2026,10+M2,1)</f>
        <v>46600</v>
      </c>
      <c r="N3" s="69" t="n">
        <f aca="false">DATE(2026,10+N2,1)</f>
        <v>46631</v>
      </c>
      <c r="O3" s="69" t="n">
        <f aca="false">DATE(2026,10+O2,1)</f>
        <v>46661</v>
      </c>
      <c r="P3" s="69" t="n">
        <f aca="false">DATE(2026,10+P2,1)</f>
        <v>46692</v>
      </c>
      <c r="Q3" s="69" t="n">
        <f aca="false">DATE(2026,10+Q2,1)</f>
        <v>46722</v>
      </c>
      <c r="R3" s="69" t="n">
        <f aca="false">DATE(2026,10+R2,1)</f>
        <v>46753</v>
      </c>
      <c r="S3" s="69" t="n">
        <f aca="false">DATE(2026,10+S2,1)</f>
        <v>46784</v>
      </c>
      <c r="T3" s="69" t="n">
        <f aca="false">DATE(2026,10+T2,1)</f>
        <v>46813</v>
      </c>
      <c r="U3" s="69" t="n">
        <f aca="false">DATE(2026,10+U2,1)</f>
        <v>46844</v>
      </c>
      <c r="V3" s="69" t="n">
        <f aca="false">DATE(2026,10+V2,1)</f>
        <v>46874</v>
      </c>
      <c r="W3" s="69" t="n">
        <f aca="false">DATE(2026,10+W2,1)</f>
        <v>46905</v>
      </c>
      <c r="X3" s="69" t="n">
        <f aca="false">DATE(2026,10+X2,1)</f>
        <v>46935</v>
      </c>
      <c r="Y3" s="69" t="n">
        <f aca="false">DATE(2026,10+Y2,1)</f>
        <v>46966</v>
      </c>
      <c r="Z3" s="69" t="n">
        <f aca="false">DATE(2026,10+Z2,1)</f>
        <v>46997</v>
      </c>
      <c r="AA3" s="69" t="n">
        <f aca="false">DATE(2026,10+AA2,1)</f>
        <v>47027</v>
      </c>
      <c r="AB3" s="69" t="n">
        <f aca="false">DATE(2026,10+AB2,1)</f>
        <v>47058</v>
      </c>
      <c r="AC3" s="69" t="n">
        <f aca="false">DATE(2026,10+AC2,1)</f>
        <v>47088</v>
      </c>
      <c r="AD3" s="69" t="n">
        <f aca="false">DATE(2026,10+AD2,1)</f>
        <v>47119</v>
      </c>
      <c r="AE3" s="69" t="n">
        <f aca="false">DATE(2026,10+AE2,1)</f>
        <v>47150</v>
      </c>
      <c r="AF3" s="69" t="n">
        <f aca="false">DATE(2026,10+AF2,1)</f>
        <v>47178</v>
      </c>
      <c r="AG3" s="69" t="n">
        <f aca="false">DATE(2026,10+AG2,1)</f>
        <v>47209</v>
      </c>
      <c r="AH3" s="69" t="n">
        <f aca="false">DATE(2026,10+AH2,1)</f>
        <v>47239</v>
      </c>
      <c r="AI3" s="69" t="n">
        <f aca="false">DATE(2026,10+AI2,1)</f>
        <v>47270</v>
      </c>
      <c r="AJ3" s="69" t="n">
        <f aca="false">DATE(2026,10+AJ2,1)</f>
        <v>47300</v>
      </c>
      <c r="AK3" s="69" t="n">
        <f aca="false">DATE(2026,10+AK2,1)</f>
        <v>47331</v>
      </c>
      <c r="AL3" s="69" t="n">
        <f aca="false">DATE(2026,10+AL2,1)</f>
        <v>47362</v>
      </c>
      <c r="AM3" s="69" t="n">
        <f aca="false">DATE(2026,10+AM2,1)</f>
        <v>47392</v>
      </c>
    </row>
    <row r="4" customFormat="false" ht="15" hidden="false" customHeight="true" outlineLevel="0" collapsed="false">
      <c r="A4" s="16" t="s">
        <v>465</v>
      </c>
      <c r="C4" s="70" t="n">
        <f aca="false">MONTH(C3)</f>
        <v>10</v>
      </c>
      <c r="D4" s="70" t="n">
        <f aca="false">MONTH(D3)</f>
        <v>11</v>
      </c>
      <c r="E4" s="70" t="n">
        <f aca="false">MONTH(E3)</f>
        <v>12</v>
      </c>
      <c r="F4" s="70" t="n">
        <f aca="false">MONTH(F3)</f>
        <v>1</v>
      </c>
      <c r="G4" s="70" t="n">
        <f aca="false">MONTH(G3)</f>
        <v>2</v>
      </c>
      <c r="H4" s="70" t="n">
        <f aca="false">MONTH(H3)</f>
        <v>3</v>
      </c>
      <c r="I4" s="70" t="n">
        <f aca="false">MONTH(I3)</f>
        <v>4</v>
      </c>
      <c r="J4" s="70" t="n">
        <f aca="false">MONTH(J3)</f>
        <v>5</v>
      </c>
      <c r="K4" s="70" t="n">
        <f aca="false">MONTH(K3)</f>
        <v>6</v>
      </c>
      <c r="L4" s="70" t="n">
        <f aca="false">MONTH(L3)</f>
        <v>7</v>
      </c>
      <c r="M4" s="70" t="n">
        <f aca="false">MONTH(M3)</f>
        <v>8</v>
      </c>
      <c r="N4" s="70" t="n">
        <f aca="false">MONTH(N3)</f>
        <v>9</v>
      </c>
      <c r="O4" s="70" t="n">
        <f aca="false">MONTH(O3)</f>
        <v>10</v>
      </c>
      <c r="P4" s="70" t="n">
        <f aca="false">MONTH(P3)</f>
        <v>11</v>
      </c>
      <c r="Q4" s="70" t="n">
        <f aca="false">MONTH(Q3)</f>
        <v>12</v>
      </c>
      <c r="R4" s="70" t="n">
        <f aca="false">MONTH(R3)</f>
        <v>1</v>
      </c>
      <c r="S4" s="70" t="n">
        <f aca="false">MONTH(S3)</f>
        <v>2</v>
      </c>
      <c r="T4" s="70" t="n">
        <f aca="false">MONTH(T3)</f>
        <v>3</v>
      </c>
      <c r="U4" s="70" t="n">
        <f aca="false">MONTH(U3)</f>
        <v>4</v>
      </c>
      <c r="V4" s="70" t="n">
        <f aca="false">MONTH(V3)</f>
        <v>5</v>
      </c>
      <c r="W4" s="70" t="n">
        <f aca="false">MONTH(W3)</f>
        <v>6</v>
      </c>
      <c r="X4" s="70" t="n">
        <f aca="false">MONTH(X3)</f>
        <v>7</v>
      </c>
      <c r="Y4" s="70" t="n">
        <f aca="false">MONTH(Y3)</f>
        <v>8</v>
      </c>
      <c r="Z4" s="70" t="n">
        <f aca="false">MONTH(Z3)</f>
        <v>9</v>
      </c>
      <c r="AA4" s="70" t="n">
        <f aca="false">MONTH(AA3)</f>
        <v>10</v>
      </c>
      <c r="AB4" s="70" t="n">
        <f aca="false">MONTH(AB3)</f>
        <v>11</v>
      </c>
      <c r="AC4" s="70" t="n">
        <f aca="false">MONTH(AC3)</f>
        <v>12</v>
      </c>
      <c r="AD4" s="70" t="n">
        <f aca="false">MONTH(AD3)</f>
        <v>1</v>
      </c>
      <c r="AE4" s="70" t="n">
        <f aca="false">MONTH(AE3)</f>
        <v>2</v>
      </c>
      <c r="AF4" s="70" t="n">
        <f aca="false">MONTH(AF3)</f>
        <v>3</v>
      </c>
      <c r="AG4" s="70" t="n">
        <f aca="false">MONTH(AG3)</f>
        <v>4</v>
      </c>
      <c r="AH4" s="70" t="n">
        <f aca="false">MONTH(AH3)</f>
        <v>5</v>
      </c>
      <c r="AI4" s="70" t="n">
        <f aca="false">MONTH(AI3)</f>
        <v>6</v>
      </c>
      <c r="AJ4" s="70" t="n">
        <f aca="false">MONTH(AJ3)</f>
        <v>7</v>
      </c>
      <c r="AK4" s="70" t="n">
        <f aca="false">MONTH(AK3)</f>
        <v>8</v>
      </c>
      <c r="AL4" s="70" t="n">
        <f aca="false">MONTH(AL3)</f>
        <v>9</v>
      </c>
      <c r="AM4" s="70" t="n">
        <f aca="false">MONTH(AM3)</f>
        <v>10</v>
      </c>
    </row>
    <row r="5" customFormat="false" ht="15" hidden="false" customHeight="true" outlineLevel="0" collapsed="false">
      <c r="A5" s="16" t="s">
        <v>466</v>
      </c>
      <c r="C5" s="70" t="n">
        <f aca="false">IF(C2=0,0,INT((C2-1)/12)+1)</f>
        <v>0</v>
      </c>
      <c r="D5" s="70" t="n">
        <f aca="false">IF(D2=0,0,INT((D2-1)/12)+1)</f>
        <v>1</v>
      </c>
      <c r="E5" s="70" t="n">
        <f aca="false">IF(E2=0,0,INT((E2-1)/12)+1)</f>
        <v>1</v>
      </c>
      <c r="F5" s="70" t="n">
        <f aca="false">IF(F2=0,0,INT((F2-1)/12)+1)</f>
        <v>1</v>
      </c>
      <c r="G5" s="70" t="n">
        <f aca="false">IF(G2=0,0,INT((G2-1)/12)+1)</f>
        <v>1</v>
      </c>
      <c r="H5" s="70" t="n">
        <f aca="false">IF(H2=0,0,INT((H2-1)/12)+1)</f>
        <v>1</v>
      </c>
      <c r="I5" s="70" t="n">
        <f aca="false">IF(I2=0,0,INT((I2-1)/12)+1)</f>
        <v>1</v>
      </c>
      <c r="J5" s="70" t="n">
        <f aca="false">IF(J2=0,0,INT((J2-1)/12)+1)</f>
        <v>1</v>
      </c>
      <c r="K5" s="70" t="n">
        <f aca="false">IF(K2=0,0,INT((K2-1)/12)+1)</f>
        <v>1</v>
      </c>
      <c r="L5" s="70" t="n">
        <f aca="false">IF(L2=0,0,INT((L2-1)/12)+1)</f>
        <v>1</v>
      </c>
      <c r="M5" s="70" t="n">
        <f aca="false">IF(M2=0,0,INT((M2-1)/12)+1)</f>
        <v>1</v>
      </c>
      <c r="N5" s="70" t="n">
        <f aca="false">IF(N2=0,0,INT((N2-1)/12)+1)</f>
        <v>1</v>
      </c>
      <c r="O5" s="70" t="n">
        <f aca="false">IF(O2=0,0,INT((O2-1)/12)+1)</f>
        <v>1</v>
      </c>
      <c r="P5" s="70" t="n">
        <f aca="false">IF(P2=0,0,INT((P2-1)/12)+1)</f>
        <v>2</v>
      </c>
      <c r="Q5" s="70" t="n">
        <f aca="false">IF(Q2=0,0,INT((Q2-1)/12)+1)</f>
        <v>2</v>
      </c>
      <c r="R5" s="70" t="n">
        <f aca="false">IF(R2=0,0,INT((R2-1)/12)+1)</f>
        <v>2</v>
      </c>
      <c r="S5" s="70" t="n">
        <f aca="false">IF(S2=0,0,INT((S2-1)/12)+1)</f>
        <v>2</v>
      </c>
      <c r="T5" s="70" t="n">
        <f aca="false">IF(T2=0,0,INT((T2-1)/12)+1)</f>
        <v>2</v>
      </c>
      <c r="U5" s="70" t="n">
        <f aca="false">IF(U2=0,0,INT((U2-1)/12)+1)</f>
        <v>2</v>
      </c>
      <c r="V5" s="70" t="n">
        <f aca="false">IF(V2=0,0,INT((V2-1)/12)+1)</f>
        <v>2</v>
      </c>
      <c r="W5" s="70" t="n">
        <f aca="false">IF(W2=0,0,INT((W2-1)/12)+1)</f>
        <v>2</v>
      </c>
      <c r="X5" s="70" t="n">
        <f aca="false">IF(X2=0,0,INT((X2-1)/12)+1)</f>
        <v>2</v>
      </c>
      <c r="Y5" s="70" t="n">
        <f aca="false">IF(Y2=0,0,INT((Y2-1)/12)+1)</f>
        <v>2</v>
      </c>
      <c r="Z5" s="70" t="n">
        <f aca="false">IF(Z2=0,0,INT((Z2-1)/12)+1)</f>
        <v>2</v>
      </c>
      <c r="AA5" s="70" t="n">
        <f aca="false">IF(AA2=0,0,INT((AA2-1)/12)+1)</f>
        <v>2</v>
      </c>
      <c r="AB5" s="70" t="n">
        <f aca="false">IF(AB2=0,0,INT((AB2-1)/12)+1)</f>
        <v>3</v>
      </c>
      <c r="AC5" s="70" t="n">
        <f aca="false">IF(AC2=0,0,INT((AC2-1)/12)+1)</f>
        <v>3</v>
      </c>
      <c r="AD5" s="70" t="n">
        <f aca="false">IF(AD2=0,0,INT((AD2-1)/12)+1)</f>
        <v>3</v>
      </c>
      <c r="AE5" s="70" t="n">
        <f aca="false">IF(AE2=0,0,INT((AE2-1)/12)+1)</f>
        <v>3</v>
      </c>
      <c r="AF5" s="70" t="n">
        <f aca="false">IF(AF2=0,0,INT((AF2-1)/12)+1)</f>
        <v>3</v>
      </c>
      <c r="AG5" s="70" t="n">
        <f aca="false">IF(AG2=0,0,INT((AG2-1)/12)+1)</f>
        <v>3</v>
      </c>
      <c r="AH5" s="70" t="n">
        <f aca="false">IF(AH2=0,0,INT((AH2-1)/12)+1)</f>
        <v>3</v>
      </c>
      <c r="AI5" s="70" t="n">
        <f aca="false">IF(AI2=0,0,INT((AI2-1)/12)+1)</f>
        <v>3</v>
      </c>
      <c r="AJ5" s="70" t="n">
        <f aca="false">IF(AJ2=0,0,INT((AJ2-1)/12)+1)</f>
        <v>3</v>
      </c>
      <c r="AK5" s="70" t="n">
        <f aca="false">IF(AK2=0,0,INT((AK2-1)/12)+1)</f>
        <v>3</v>
      </c>
      <c r="AL5" s="70" t="n">
        <f aca="false">IF(AL2=0,0,INT((AL2-1)/12)+1)</f>
        <v>3</v>
      </c>
      <c r="AM5" s="70" t="n">
        <f aca="false">IF(AM2=0,0,INT((AM2-1)/12)+1)</f>
        <v>3</v>
      </c>
    </row>
    <row r="6" customFormat="false" ht="15" hidden="false" customHeight="true" outlineLevel="0" collapsed="false">
      <c r="A6" s="16" t="s">
        <v>467</v>
      </c>
      <c r="C6" s="71" t="n">
        <f aca="false">IF(C2=0,0,IF(C2=1,Допущения!$B$25,1))</f>
        <v>0</v>
      </c>
      <c r="D6" s="71" t="n">
        <f aca="false">IF(D2=0,0,IF(D2=1,Допущения!$B$25,1))</f>
        <v>0.366666666666667</v>
      </c>
      <c r="E6" s="71" t="n">
        <f aca="false">IF(E2=0,0,IF(E2=1,Допущения!$B$25,1))</f>
        <v>1</v>
      </c>
      <c r="F6" s="71" t="n">
        <f aca="false">IF(F2=0,0,IF(F2=1,Допущения!$B$25,1))</f>
        <v>1</v>
      </c>
      <c r="G6" s="71" t="n">
        <f aca="false">IF(G2=0,0,IF(G2=1,Допущения!$B$25,1))</f>
        <v>1</v>
      </c>
      <c r="H6" s="71" t="n">
        <f aca="false">IF(H2=0,0,IF(H2=1,Допущения!$B$25,1))</f>
        <v>1</v>
      </c>
      <c r="I6" s="71" t="n">
        <f aca="false">IF(I2=0,0,IF(I2=1,Допущения!$B$25,1))</f>
        <v>1</v>
      </c>
      <c r="J6" s="71" t="n">
        <f aca="false">IF(J2=0,0,IF(J2=1,Допущения!$B$25,1))</f>
        <v>1</v>
      </c>
      <c r="K6" s="71" t="n">
        <f aca="false">IF(K2=0,0,IF(K2=1,Допущения!$B$25,1))</f>
        <v>1</v>
      </c>
      <c r="L6" s="71" t="n">
        <f aca="false">IF(L2=0,0,IF(L2=1,Допущения!$B$25,1))</f>
        <v>1</v>
      </c>
      <c r="M6" s="71" t="n">
        <f aca="false">IF(M2=0,0,IF(M2=1,Допущения!$B$25,1))</f>
        <v>1</v>
      </c>
      <c r="N6" s="71" t="n">
        <f aca="false">IF(N2=0,0,IF(N2=1,Допущения!$B$25,1))</f>
        <v>1</v>
      </c>
      <c r="O6" s="71" t="n">
        <f aca="false">IF(O2=0,0,IF(O2=1,Допущения!$B$25,1))</f>
        <v>1</v>
      </c>
      <c r="P6" s="71" t="n">
        <f aca="false">IF(P2=0,0,IF(P2=1,Допущения!$B$25,1))</f>
        <v>1</v>
      </c>
      <c r="Q6" s="71" t="n">
        <f aca="false">IF(Q2=0,0,IF(Q2=1,Допущения!$B$25,1))</f>
        <v>1</v>
      </c>
      <c r="R6" s="71" t="n">
        <f aca="false">IF(R2=0,0,IF(R2=1,Допущения!$B$25,1))</f>
        <v>1</v>
      </c>
      <c r="S6" s="71" t="n">
        <f aca="false">IF(S2=0,0,IF(S2=1,Допущения!$B$25,1))</f>
        <v>1</v>
      </c>
      <c r="T6" s="71" t="n">
        <f aca="false">IF(T2=0,0,IF(T2=1,Допущения!$B$25,1))</f>
        <v>1</v>
      </c>
      <c r="U6" s="71" t="n">
        <f aca="false">IF(U2=0,0,IF(U2=1,Допущения!$B$25,1))</f>
        <v>1</v>
      </c>
      <c r="V6" s="71" t="n">
        <f aca="false">IF(V2=0,0,IF(V2=1,Допущения!$B$25,1))</f>
        <v>1</v>
      </c>
      <c r="W6" s="71" t="n">
        <f aca="false">IF(W2=0,0,IF(W2=1,Допущения!$B$25,1))</f>
        <v>1</v>
      </c>
      <c r="X6" s="71" t="n">
        <f aca="false">IF(X2=0,0,IF(X2=1,Допущения!$B$25,1))</f>
        <v>1</v>
      </c>
      <c r="Y6" s="71" t="n">
        <f aca="false">IF(Y2=0,0,IF(Y2=1,Допущения!$B$25,1))</f>
        <v>1</v>
      </c>
      <c r="Z6" s="71" t="n">
        <f aca="false">IF(Z2=0,0,IF(Z2=1,Допущения!$B$25,1))</f>
        <v>1</v>
      </c>
      <c r="AA6" s="71" t="n">
        <f aca="false">IF(AA2=0,0,IF(AA2=1,Допущения!$B$25,1))</f>
        <v>1</v>
      </c>
      <c r="AB6" s="71" t="n">
        <f aca="false">IF(AB2=0,0,IF(AB2=1,Допущения!$B$25,1))</f>
        <v>1</v>
      </c>
      <c r="AC6" s="71" t="n">
        <f aca="false">IF(AC2=0,0,IF(AC2=1,Допущения!$B$25,1))</f>
        <v>1</v>
      </c>
      <c r="AD6" s="71" t="n">
        <f aca="false">IF(AD2=0,0,IF(AD2=1,Допущения!$B$25,1))</f>
        <v>1</v>
      </c>
      <c r="AE6" s="71" t="n">
        <f aca="false">IF(AE2=0,0,IF(AE2=1,Допущения!$B$25,1))</f>
        <v>1</v>
      </c>
      <c r="AF6" s="71" t="n">
        <f aca="false">IF(AF2=0,0,IF(AF2=1,Допущения!$B$25,1))</f>
        <v>1</v>
      </c>
      <c r="AG6" s="71" t="n">
        <f aca="false">IF(AG2=0,0,IF(AG2=1,Допущения!$B$25,1))</f>
        <v>1</v>
      </c>
      <c r="AH6" s="71" t="n">
        <f aca="false">IF(AH2=0,0,IF(AH2=1,Допущения!$B$25,1))</f>
        <v>1</v>
      </c>
      <c r="AI6" s="71" t="n">
        <f aca="false">IF(AI2=0,0,IF(AI2=1,Допущения!$B$25,1))</f>
        <v>1</v>
      </c>
      <c r="AJ6" s="71" t="n">
        <f aca="false">IF(AJ2=0,0,IF(AJ2=1,Допущения!$B$25,1))</f>
        <v>1</v>
      </c>
      <c r="AK6" s="71" t="n">
        <f aca="false">IF(AK2=0,0,IF(AK2=1,Допущения!$B$25,1))</f>
        <v>1</v>
      </c>
      <c r="AL6" s="71" t="n">
        <f aca="false">IF(AL2=0,0,IF(AL2=1,Допущения!$B$25,1))</f>
        <v>1</v>
      </c>
      <c r="AM6" s="71" t="n">
        <f aca="false">IF(AM2=0,0,IF(AM2=1,Допущения!$B$25,1))</f>
        <v>1</v>
      </c>
    </row>
    <row r="7" customFormat="false" ht="15" hidden="false" customHeight="true" outlineLevel="0" collapsed="false">
      <c r="A7" s="16" t="s">
        <v>468</v>
      </c>
      <c r="C7" s="71" t="n">
        <f aca="false">INDEX(Допущения!$B$87:$B$98,C4)</f>
        <v>1</v>
      </c>
      <c r="D7" s="71" t="n">
        <f aca="false">INDEX(Допущения!$B$87:$B$98,D4)</f>
        <v>1.15</v>
      </c>
      <c r="E7" s="71" t="n">
        <f aca="false">INDEX(Допущения!$B$87:$B$98,E4)</f>
        <v>1.15</v>
      </c>
      <c r="F7" s="71" t="n">
        <f aca="false">INDEX(Допущения!$B$87:$B$98,F4)</f>
        <v>1.1</v>
      </c>
      <c r="G7" s="71" t="n">
        <f aca="false">INDEX(Допущения!$B$87:$B$98,G4)</f>
        <v>1</v>
      </c>
      <c r="H7" s="71" t="n">
        <f aca="false">INDEX(Допущения!$B$87:$B$98,H4)</f>
        <v>1</v>
      </c>
      <c r="I7" s="71" t="n">
        <f aca="false">INDEX(Допущения!$B$87:$B$98,I4)</f>
        <v>1</v>
      </c>
      <c r="J7" s="71" t="n">
        <f aca="false">INDEX(Допущения!$B$87:$B$98,J4)</f>
        <v>1</v>
      </c>
      <c r="K7" s="71" t="n">
        <f aca="false">INDEX(Допущения!$B$87:$B$98,K4)</f>
        <v>1</v>
      </c>
      <c r="L7" s="71" t="n">
        <f aca="false">INDEX(Допущения!$B$87:$B$98,L4)</f>
        <v>1</v>
      </c>
      <c r="M7" s="71" t="n">
        <f aca="false">INDEX(Допущения!$B$87:$B$98,M4)</f>
        <v>1</v>
      </c>
      <c r="N7" s="71" t="n">
        <f aca="false">INDEX(Допущения!$B$87:$B$98,N4)</f>
        <v>1</v>
      </c>
      <c r="O7" s="71" t="n">
        <f aca="false">INDEX(Допущения!$B$87:$B$98,O4)</f>
        <v>1</v>
      </c>
      <c r="P7" s="71" t="n">
        <f aca="false">INDEX(Допущения!$B$87:$B$98,P4)</f>
        <v>1.15</v>
      </c>
      <c r="Q7" s="71" t="n">
        <f aca="false">INDEX(Допущения!$B$87:$B$98,Q4)</f>
        <v>1.15</v>
      </c>
      <c r="R7" s="71" t="n">
        <f aca="false">INDEX(Допущения!$B$87:$B$98,R4)</f>
        <v>1.1</v>
      </c>
      <c r="S7" s="71" t="n">
        <f aca="false">INDEX(Допущения!$B$87:$B$98,S4)</f>
        <v>1</v>
      </c>
      <c r="T7" s="71" t="n">
        <f aca="false">INDEX(Допущения!$B$87:$B$98,T4)</f>
        <v>1</v>
      </c>
      <c r="U7" s="71" t="n">
        <f aca="false">INDEX(Допущения!$B$87:$B$98,U4)</f>
        <v>1</v>
      </c>
      <c r="V7" s="71" t="n">
        <f aca="false">INDEX(Допущения!$B$87:$B$98,V4)</f>
        <v>1</v>
      </c>
      <c r="W7" s="71" t="n">
        <f aca="false">INDEX(Допущения!$B$87:$B$98,W4)</f>
        <v>1</v>
      </c>
      <c r="X7" s="71" t="n">
        <f aca="false">INDEX(Допущения!$B$87:$B$98,X4)</f>
        <v>1</v>
      </c>
      <c r="Y7" s="71" t="n">
        <f aca="false">INDEX(Допущения!$B$87:$B$98,Y4)</f>
        <v>1</v>
      </c>
      <c r="Z7" s="71" t="n">
        <f aca="false">INDEX(Допущения!$B$87:$B$98,Z4)</f>
        <v>1</v>
      </c>
      <c r="AA7" s="71" t="n">
        <f aca="false">INDEX(Допущения!$B$87:$B$98,AA4)</f>
        <v>1</v>
      </c>
      <c r="AB7" s="71" t="n">
        <f aca="false">INDEX(Допущения!$B$87:$B$98,AB4)</f>
        <v>1.15</v>
      </c>
      <c r="AC7" s="71" t="n">
        <f aca="false">INDEX(Допущения!$B$87:$B$98,AC4)</f>
        <v>1.15</v>
      </c>
      <c r="AD7" s="71" t="n">
        <f aca="false">INDEX(Допущения!$B$87:$B$98,AD4)</f>
        <v>1.1</v>
      </c>
      <c r="AE7" s="71" t="n">
        <f aca="false">INDEX(Допущения!$B$87:$B$98,AE4)</f>
        <v>1</v>
      </c>
      <c r="AF7" s="71" t="n">
        <f aca="false">INDEX(Допущения!$B$87:$B$98,AF4)</f>
        <v>1</v>
      </c>
      <c r="AG7" s="71" t="n">
        <f aca="false">INDEX(Допущения!$B$87:$B$98,AG4)</f>
        <v>1</v>
      </c>
      <c r="AH7" s="71" t="n">
        <f aca="false">INDEX(Допущения!$B$87:$B$98,AH4)</f>
        <v>1</v>
      </c>
      <c r="AI7" s="71" t="n">
        <f aca="false">INDEX(Допущения!$B$87:$B$98,AI4)</f>
        <v>1</v>
      </c>
      <c r="AJ7" s="71" t="n">
        <f aca="false">INDEX(Допущения!$B$87:$B$98,AJ4)</f>
        <v>1</v>
      </c>
      <c r="AK7" s="71" t="n">
        <f aca="false">INDEX(Допущения!$B$87:$B$98,AK4)</f>
        <v>1</v>
      </c>
      <c r="AL7" s="71" t="n">
        <f aca="false">INDEX(Допущения!$B$87:$B$98,AL4)</f>
        <v>1</v>
      </c>
      <c r="AM7" s="71" t="n">
        <f aca="false">INDEX(Допущения!$B$87:$B$98,AM4)</f>
        <v>1</v>
      </c>
    </row>
    <row r="8" customFormat="false" ht="15" hidden="false" customHeight="true" outlineLevel="0" collapsed="false">
      <c r="A8" s="29" t="s">
        <v>469</v>
      </c>
    </row>
    <row r="9" customFormat="false" ht="15" hidden="false" customHeight="true" outlineLevel="0" collapsed="false">
      <c r="A9" s="27" t="s">
        <v>470</v>
      </c>
      <c r="C9" s="72" t="n">
        <v>0</v>
      </c>
      <c r="D9" s="72" t="n">
        <f aca="false">IF(D2&lt;=2,Допущения!$B$22,IF(D2&lt;=12,C9+Допущения!$E$13,MIN(Допущения!$B$24,C9+Допущения!$E$14)))</f>
        <v>50</v>
      </c>
      <c r="E9" s="72" t="n">
        <f aca="false">IF(E2&lt;=2,Допущения!$B$22,IF(E2&lt;=12,D9+Допущения!$E$13,MIN(Допущения!$B$24,D9+Допущения!$E$14)))</f>
        <v>50</v>
      </c>
      <c r="F9" s="72" t="n">
        <f aca="false">IF(F2&lt;=2,Допущения!$B$22,IF(F2&lt;=12,E9+Допущения!$E$13,MIN(Допущения!$B$24,E9+Допущения!$E$14)))</f>
        <v>60</v>
      </c>
      <c r="G9" s="72" t="n">
        <f aca="false">IF(G2&lt;=2,Допущения!$B$22,IF(G2&lt;=12,F9+Допущения!$E$13,MIN(Допущения!$B$24,F9+Допущения!$E$14)))</f>
        <v>70</v>
      </c>
      <c r="H9" s="72" t="n">
        <f aca="false">IF(H2&lt;=2,Допущения!$B$22,IF(H2&lt;=12,G9+Допущения!$E$13,MIN(Допущения!$B$24,G9+Допущения!$E$14)))</f>
        <v>80</v>
      </c>
      <c r="I9" s="72" t="n">
        <f aca="false">IF(I2&lt;=2,Допущения!$B$22,IF(I2&lt;=12,H9+Допущения!$E$13,MIN(Допущения!$B$24,H9+Допущения!$E$14)))</f>
        <v>90</v>
      </c>
      <c r="J9" s="72" t="n">
        <f aca="false">IF(J2&lt;=2,Допущения!$B$22,IF(J2&lt;=12,I9+Допущения!$E$13,MIN(Допущения!$B$24,I9+Допущения!$E$14)))</f>
        <v>100</v>
      </c>
      <c r="K9" s="72" t="n">
        <f aca="false">IF(K2&lt;=2,Допущения!$B$22,IF(K2&lt;=12,J9+Допущения!$E$13,MIN(Допущения!$B$24,J9+Допущения!$E$14)))</f>
        <v>110</v>
      </c>
      <c r="L9" s="72" t="n">
        <f aca="false">IF(L2&lt;=2,Допущения!$B$22,IF(L2&lt;=12,K9+Допущения!$E$13,MIN(Допущения!$B$24,K9+Допущения!$E$14)))</f>
        <v>120</v>
      </c>
      <c r="M9" s="72" t="n">
        <f aca="false">IF(M2&lt;=2,Допущения!$B$22,IF(M2&lt;=12,L9+Допущения!$E$13,MIN(Допущения!$B$24,L9+Допущения!$E$14)))</f>
        <v>130</v>
      </c>
      <c r="N9" s="72" t="n">
        <f aca="false">IF(N2&lt;=2,Допущения!$B$22,IF(N2&lt;=12,M9+Допущения!$E$13,MIN(Допущения!$B$24,M9+Допущения!$E$14)))</f>
        <v>140</v>
      </c>
      <c r="O9" s="72" t="n">
        <f aca="false">IF(O2&lt;=2,Допущения!$B$22,IF(O2&lt;=12,N9+Допущения!$E$13,MIN(Допущения!$B$24,N9+Допущения!$E$14)))</f>
        <v>150</v>
      </c>
      <c r="P9" s="72" t="n">
        <f aca="false">IF(P2&lt;=2,Допущения!$B$22,IF(P2&lt;=12,O9+Допущения!$E$13,MIN(Допущения!$B$24,O9+Допущения!$E$14)))</f>
        <v>162</v>
      </c>
      <c r="Q9" s="72" t="n">
        <f aca="false">IF(Q2&lt;=2,Допущения!$B$22,IF(Q2&lt;=12,P9+Допущения!$E$13,MIN(Допущения!$B$24,P9+Допущения!$E$14)))</f>
        <v>174</v>
      </c>
      <c r="R9" s="72" t="n">
        <f aca="false">IF(R2&lt;=2,Допущения!$B$22,IF(R2&lt;=12,Q9+Допущения!$E$13,MIN(Допущения!$B$24,Q9+Допущения!$E$14)))</f>
        <v>186</v>
      </c>
      <c r="S9" s="72" t="n">
        <f aca="false">IF(S2&lt;=2,Допущения!$B$22,IF(S2&lt;=12,R9+Допущения!$E$13,MIN(Допущения!$B$24,R9+Допущения!$E$14)))</f>
        <v>198</v>
      </c>
      <c r="T9" s="72" t="n">
        <f aca="false">IF(T2&lt;=2,Допущения!$B$22,IF(T2&lt;=12,S9+Допущения!$E$13,MIN(Допущения!$B$24,S9+Допущения!$E$14)))</f>
        <v>210</v>
      </c>
      <c r="U9" s="72" t="n">
        <f aca="false">IF(U2&lt;=2,Допущения!$B$22,IF(U2&lt;=12,T9+Допущения!$E$13,MIN(Допущения!$B$24,T9+Допущения!$E$14)))</f>
        <v>222</v>
      </c>
      <c r="V9" s="72" t="n">
        <f aca="false">IF(V2&lt;=2,Допущения!$B$22,IF(V2&lt;=12,U9+Допущения!$E$13,MIN(Допущения!$B$24,U9+Допущения!$E$14)))</f>
        <v>234</v>
      </c>
      <c r="W9" s="72" t="n">
        <f aca="false">IF(W2&lt;=2,Допущения!$B$22,IF(W2&lt;=12,V9+Допущения!$E$13,MIN(Допущения!$B$24,V9+Допущения!$E$14)))</f>
        <v>246</v>
      </c>
      <c r="X9" s="72" t="n">
        <f aca="false">IF(X2&lt;=2,Допущения!$B$22,IF(X2&lt;=12,W9+Допущения!$E$13,MIN(Допущения!$B$24,W9+Допущения!$E$14)))</f>
        <v>258</v>
      </c>
      <c r="Y9" s="72" t="n">
        <f aca="false">IF(Y2&lt;=2,Допущения!$B$22,IF(Y2&lt;=12,X9+Допущения!$E$13,MIN(Допущения!$B$24,X9+Допущения!$E$14)))</f>
        <v>270</v>
      </c>
      <c r="Z9" s="72" t="n">
        <f aca="false">IF(Z2&lt;=2,Допущения!$B$22,IF(Z2&lt;=12,Y9+Допущения!$E$13,MIN(Допущения!$B$24,Y9+Допущения!$E$14)))</f>
        <v>282</v>
      </c>
      <c r="AA9" s="72" t="n">
        <f aca="false">IF(AA2&lt;=2,Допущения!$B$22,IF(AA2&lt;=12,Z9+Допущения!$E$13,MIN(Допущения!$B$24,Z9+Допущения!$E$14)))</f>
        <v>294</v>
      </c>
      <c r="AB9" s="72" t="n">
        <f aca="false">IF(AB2&lt;=2,Допущения!$B$22,IF(AB2&lt;=12,AA9+Допущения!$E$13,MIN(Допущения!$B$24,AA9+Допущения!$E$14)))</f>
        <v>306</v>
      </c>
      <c r="AC9" s="72" t="n">
        <f aca="false">IF(AC2&lt;=2,Допущения!$B$22,IF(AC2&lt;=12,AB9+Допущения!$E$13,MIN(Допущения!$B$24,AB9+Допущения!$E$14)))</f>
        <v>318</v>
      </c>
      <c r="AD9" s="72" t="n">
        <f aca="false">IF(AD2&lt;=2,Допущения!$B$22,IF(AD2&lt;=12,AC9+Допущения!$E$13,MIN(Допущения!$B$24,AC9+Допущения!$E$14)))</f>
        <v>330</v>
      </c>
      <c r="AE9" s="72" t="n">
        <f aca="false">IF(AE2&lt;=2,Допущения!$B$22,IF(AE2&lt;=12,AD9+Допущения!$E$13,MIN(Допущения!$B$24,AD9+Допущения!$E$14)))</f>
        <v>342</v>
      </c>
      <c r="AF9" s="72" t="n">
        <f aca="false">IF(AF2&lt;=2,Допущения!$B$22,IF(AF2&lt;=12,AE9+Допущения!$E$13,MIN(Допущения!$B$24,AE9+Допущения!$E$14)))</f>
        <v>354</v>
      </c>
      <c r="AG9" s="72" t="n">
        <f aca="false">IF(AG2&lt;=2,Допущения!$B$22,IF(AG2&lt;=12,AF9+Допущения!$E$13,MIN(Допущения!$B$24,AF9+Допущения!$E$14)))</f>
        <v>366</v>
      </c>
      <c r="AH9" s="72" t="n">
        <f aca="false">IF(AH2&lt;=2,Допущения!$B$22,IF(AH2&lt;=12,AG9+Допущения!$E$13,MIN(Допущения!$B$24,AG9+Допущения!$E$14)))</f>
        <v>378</v>
      </c>
      <c r="AI9" s="72" t="n">
        <f aca="false">IF(AI2&lt;=2,Допущения!$B$22,IF(AI2&lt;=12,AH9+Допущения!$E$13,MIN(Допущения!$B$24,AH9+Допущения!$E$14)))</f>
        <v>390</v>
      </c>
      <c r="AJ9" s="72" t="n">
        <f aca="false">IF(AJ2&lt;=2,Допущения!$B$22,IF(AJ2&lt;=12,AI9+Допущения!$E$13,MIN(Допущения!$B$24,AI9+Допущения!$E$14)))</f>
        <v>400</v>
      </c>
      <c r="AK9" s="72" t="n">
        <f aca="false">IF(AK2&lt;=2,Допущения!$B$22,IF(AK2&lt;=12,AJ9+Допущения!$E$13,MIN(Допущения!$B$24,AJ9+Допущения!$E$14)))</f>
        <v>400</v>
      </c>
      <c r="AL9" s="72" t="n">
        <f aca="false">IF(AL2&lt;=2,Допущения!$B$22,IF(AL2&lt;=12,AK9+Допущения!$E$13,MIN(Допущения!$B$24,AK9+Допущения!$E$14)))</f>
        <v>400</v>
      </c>
      <c r="AM9" s="72" t="n">
        <f aca="false">IF(AM2&lt;=2,Допущения!$B$22,IF(AM2&lt;=12,AL9+Допущения!$E$13,MIN(Допущения!$B$24,AL9+Допущения!$E$14)))</f>
        <v>400</v>
      </c>
    </row>
    <row r="10" customFormat="false" ht="15" hidden="false" customHeight="true" outlineLevel="0" collapsed="false">
      <c r="A10" s="16" t="s">
        <v>78</v>
      </c>
      <c r="C10" s="73" t="n">
        <f aca="false">C9*Допущения!$B$23*Допущения!$E$8*C6</f>
        <v>0</v>
      </c>
      <c r="D10" s="73" t="n">
        <f aca="false">D9*Допущения!$B$23*Допущения!$E$8*D6</f>
        <v>146.666666666667</v>
      </c>
      <c r="E10" s="73" t="n">
        <f aca="false">E9*Допущения!$B$23*Допущения!$E$8*E6</f>
        <v>400</v>
      </c>
      <c r="F10" s="73" t="n">
        <f aca="false">F9*Допущения!$B$23*Допущения!$E$8*F6</f>
        <v>480</v>
      </c>
      <c r="G10" s="73" t="n">
        <f aca="false">G9*Допущения!$B$23*Допущения!$E$8*G6</f>
        <v>560</v>
      </c>
      <c r="H10" s="73" t="n">
        <f aca="false">H9*Допущения!$B$23*Допущения!$E$8*H6</f>
        <v>640</v>
      </c>
      <c r="I10" s="73" t="n">
        <f aca="false">I9*Допущения!$B$23*Допущения!$E$8*I6</f>
        <v>720</v>
      </c>
      <c r="J10" s="73" t="n">
        <f aca="false">J9*Допущения!$B$23*Допущения!$E$8*J6</f>
        <v>800</v>
      </c>
      <c r="K10" s="73" t="n">
        <f aca="false">K9*Допущения!$B$23*Допущения!$E$8*K6</f>
        <v>880</v>
      </c>
      <c r="L10" s="73" t="n">
        <f aca="false">L9*Допущения!$B$23*Допущения!$E$8*L6</f>
        <v>960</v>
      </c>
      <c r="M10" s="73" t="n">
        <f aca="false">M9*Допущения!$B$23*Допущения!$E$8*M6</f>
        <v>1040</v>
      </c>
      <c r="N10" s="73" t="n">
        <f aca="false">N9*Допущения!$B$23*Допущения!$E$8*N6</f>
        <v>1120</v>
      </c>
      <c r="O10" s="73" t="n">
        <f aca="false">O9*Допущения!$B$23*Допущения!$E$8*O6</f>
        <v>1200</v>
      </c>
      <c r="P10" s="73" t="n">
        <f aca="false">P9*Допущения!$B$23*Допущения!$E$8*P6</f>
        <v>1296</v>
      </c>
      <c r="Q10" s="73" t="n">
        <f aca="false">Q9*Допущения!$B$23*Допущения!$E$8*Q6</f>
        <v>1392</v>
      </c>
      <c r="R10" s="73" t="n">
        <f aca="false">R9*Допущения!$B$23*Допущения!$E$8*R6</f>
        <v>1488</v>
      </c>
      <c r="S10" s="73" t="n">
        <f aca="false">S9*Допущения!$B$23*Допущения!$E$8*S6</f>
        <v>1584</v>
      </c>
      <c r="T10" s="73" t="n">
        <f aca="false">T9*Допущения!$B$23*Допущения!$E$8*T6</f>
        <v>1680</v>
      </c>
      <c r="U10" s="73" t="n">
        <f aca="false">U9*Допущения!$B$23*Допущения!$E$8*U6</f>
        <v>1776</v>
      </c>
      <c r="V10" s="73" t="n">
        <f aca="false">V9*Допущения!$B$23*Допущения!$E$8*V6</f>
        <v>1872</v>
      </c>
      <c r="W10" s="73" t="n">
        <f aca="false">W9*Допущения!$B$23*Допущения!$E$8*W6</f>
        <v>1968</v>
      </c>
      <c r="X10" s="73" t="n">
        <f aca="false">X9*Допущения!$B$23*Допущения!$E$8*X6</f>
        <v>2064</v>
      </c>
      <c r="Y10" s="73" t="n">
        <f aca="false">Y9*Допущения!$B$23*Допущения!$E$8*Y6</f>
        <v>2160</v>
      </c>
      <c r="Z10" s="73" t="n">
        <f aca="false">Z9*Допущения!$B$23*Допущения!$E$8*Z6</f>
        <v>2256</v>
      </c>
      <c r="AA10" s="73" t="n">
        <f aca="false">AA9*Допущения!$B$23*Допущения!$E$8*AA6</f>
        <v>2352</v>
      </c>
      <c r="AB10" s="73" t="n">
        <f aca="false">AB9*Допущения!$B$23*Допущения!$E$8*AB6</f>
        <v>2448</v>
      </c>
      <c r="AC10" s="73" t="n">
        <f aca="false">AC9*Допущения!$B$23*Допущения!$E$8*AC6</f>
        <v>2544</v>
      </c>
      <c r="AD10" s="73" t="n">
        <f aca="false">AD9*Допущения!$B$23*Допущения!$E$8*AD6</f>
        <v>2640</v>
      </c>
      <c r="AE10" s="73" t="n">
        <f aca="false">AE9*Допущения!$B$23*Допущения!$E$8*AE6</f>
        <v>2736</v>
      </c>
      <c r="AF10" s="73" t="n">
        <f aca="false">AF9*Допущения!$B$23*Допущения!$E$8*AF6</f>
        <v>2832</v>
      </c>
      <c r="AG10" s="73" t="n">
        <f aca="false">AG9*Допущения!$B$23*Допущения!$E$8*AG6</f>
        <v>2928</v>
      </c>
      <c r="AH10" s="73" t="n">
        <f aca="false">AH9*Допущения!$B$23*Допущения!$E$8*AH6</f>
        <v>3024</v>
      </c>
      <c r="AI10" s="73" t="n">
        <f aca="false">AI9*Допущения!$B$23*Допущения!$E$8*AI6</f>
        <v>3120</v>
      </c>
      <c r="AJ10" s="73" t="n">
        <f aca="false">AJ9*Допущения!$B$23*Допущения!$E$8*AJ6</f>
        <v>3200</v>
      </c>
      <c r="AK10" s="73" t="n">
        <f aca="false">AK9*Допущения!$B$23*Допущения!$E$8*AK6</f>
        <v>3200</v>
      </c>
      <c r="AL10" s="73" t="n">
        <f aca="false">AL9*Допущения!$B$23*Допущения!$E$8*AL6</f>
        <v>3200</v>
      </c>
      <c r="AM10" s="73" t="n">
        <f aca="false">AM9*Допущения!$B$23*Допущения!$E$8*AM6</f>
        <v>3200</v>
      </c>
    </row>
    <row r="11" customFormat="false" ht="15" hidden="false" customHeight="true" outlineLevel="0" collapsed="false">
      <c r="A11" s="16" t="s">
        <v>471</v>
      </c>
      <c r="C11" s="73" t="n">
        <f aca="false">C10*Допущения!$E$6</f>
        <v>0</v>
      </c>
      <c r="D11" s="73" t="n">
        <f aca="false">D10*Допущения!$E$6</f>
        <v>733333.333333334</v>
      </c>
      <c r="E11" s="73" t="n">
        <f aca="false">E10*Допущения!$E$6</f>
        <v>2000000</v>
      </c>
      <c r="F11" s="73" t="n">
        <f aca="false">F10*Допущения!$E$6</f>
        <v>2400000</v>
      </c>
      <c r="G11" s="73" t="n">
        <f aca="false">G10*Допущения!$E$6</f>
        <v>2800000</v>
      </c>
      <c r="H11" s="73" t="n">
        <f aca="false">H10*Допущения!$E$6</f>
        <v>3200000</v>
      </c>
      <c r="I11" s="73" t="n">
        <f aca="false">I10*Допущения!$E$6</f>
        <v>3600000</v>
      </c>
      <c r="J11" s="73" t="n">
        <f aca="false">J10*Допущения!$E$6</f>
        <v>4000000</v>
      </c>
      <c r="K11" s="73" t="n">
        <f aca="false">K10*Допущения!$E$6</f>
        <v>4400000</v>
      </c>
      <c r="L11" s="73" t="n">
        <f aca="false">L10*Допущения!$E$6</f>
        <v>4800000</v>
      </c>
      <c r="M11" s="73" t="n">
        <f aca="false">M10*Допущения!$E$6</f>
        <v>5200000</v>
      </c>
      <c r="N11" s="73" t="n">
        <f aca="false">N10*Допущения!$E$6</f>
        <v>5600000</v>
      </c>
      <c r="O11" s="73" t="n">
        <f aca="false">O10*Допущения!$E$6</f>
        <v>6000000</v>
      </c>
      <c r="P11" s="73" t="n">
        <f aca="false">P10*Допущения!$E$6</f>
        <v>6480000</v>
      </c>
      <c r="Q11" s="73" t="n">
        <f aca="false">Q10*Допущения!$E$6</f>
        <v>6960000</v>
      </c>
      <c r="R11" s="73" t="n">
        <f aca="false">R10*Допущения!$E$6</f>
        <v>7440000</v>
      </c>
      <c r="S11" s="73" t="n">
        <f aca="false">S10*Допущения!$E$6</f>
        <v>7920000</v>
      </c>
      <c r="T11" s="73" t="n">
        <f aca="false">T10*Допущения!$E$6</f>
        <v>8400000</v>
      </c>
      <c r="U11" s="73" t="n">
        <f aca="false">U10*Допущения!$E$6</f>
        <v>8880000</v>
      </c>
      <c r="V11" s="73" t="n">
        <f aca="false">V10*Допущения!$E$6</f>
        <v>9360000</v>
      </c>
      <c r="W11" s="73" t="n">
        <f aca="false">W10*Допущения!$E$6</f>
        <v>9840000</v>
      </c>
      <c r="X11" s="73" t="n">
        <f aca="false">X10*Допущения!$E$6</f>
        <v>10320000</v>
      </c>
      <c r="Y11" s="73" t="n">
        <f aca="false">Y10*Допущения!$E$6</f>
        <v>10800000</v>
      </c>
      <c r="Z11" s="73" t="n">
        <f aca="false">Z10*Допущения!$E$6</f>
        <v>11280000</v>
      </c>
      <c r="AA11" s="73" t="n">
        <f aca="false">AA10*Допущения!$E$6</f>
        <v>11760000</v>
      </c>
      <c r="AB11" s="73" t="n">
        <f aca="false">AB10*Допущения!$E$6</f>
        <v>12240000</v>
      </c>
      <c r="AC11" s="73" t="n">
        <f aca="false">AC10*Допущения!$E$6</f>
        <v>12720000</v>
      </c>
      <c r="AD11" s="73" t="n">
        <f aca="false">AD10*Допущения!$E$6</f>
        <v>13200000</v>
      </c>
      <c r="AE11" s="73" t="n">
        <f aca="false">AE10*Допущения!$E$6</f>
        <v>13680000</v>
      </c>
      <c r="AF11" s="73" t="n">
        <f aca="false">AF10*Допущения!$E$6</f>
        <v>14160000</v>
      </c>
      <c r="AG11" s="73" t="n">
        <f aca="false">AG10*Допущения!$E$6</f>
        <v>14640000</v>
      </c>
      <c r="AH11" s="73" t="n">
        <f aca="false">AH10*Допущения!$E$6</f>
        <v>15120000</v>
      </c>
      <c r="AI11" s="73" t="n">
        <f aca="false">AI10*Допущения!$E$6</f>
        <v>15600000</v>
      </c>
      <c r="AJ11" s="73" t="n">
        <f aca="false">AJ10*Допущения!$E$6</f>
        <v>16000000</v>
      </c>
      <c r="AK11" s="73" t="n">
        <f aca="false">AK10*Допущения!$E$6</f>
        <v>16000000</v>
      </c>
      <c r="AL11" s="73" t="n">
        <f aca="false">AL10*Допущения!$E$6</f>
        <v>16000000</v>
      </c>
      <c r="AM11" s="73" t="n">
        <f aca="false">AM10*Допущения!$E$6</f>
        <v>16000000</v>
      </c>
    </row>
    <row r="12" customFormat="false" ht="15" hidden="false" customHeight="true" outlineLevel="0" collapsed="false">
      <c r="A12" s="27" t="s">
        <v>472</v>
      </c>
      <c r="C12" s="72" t="n">
        <f aca="false">C11*Допущения!$E$7*(1+Допущения!$E$9)*C7*(1+IF(C2&gt;=Допущения!$B$28,Допущения!$B$27,0)*Допущения!$E$18)</f>
        <v>0</v>
      </c>
      <c r="D12" s="72" t="n">
        <f aca="false">D11*Допущения!$E$7*(1+Допущения!$E$9)*D7*(1+IF(D2&gt;=Допущения!$B$28,Допущения!$B$27,0)*Допущения!$E$18)</f>
        <v>506</v>
      </c>
      <c r="E12" s="72" t="n">
        <f aca="false">E11*Допущения!$E$7*(1+Допущения!$E$9)*E7*(1+IF(E2&gt;=Допущения!$B$28,Допущения!$B$27,0)*Допущения!$E$18)</f>
        <v>1380</v>
      </c>
      <c r="F12" s="72" t="n">
        <f aca="false">F11*Допущения!$E$7*(1+Допущения!$E$9)*F7*(1+IF(F2&gt;=Допущения!$B$28,Допущения!$B$27,0)*Допущения!$E$18)</f>
        <v>1584</v>
      </c>
      <c r="G12" s="72" t="n">
        <f aca="false">G11*Допущения!$E$7*(1+Допущения!$E$9)*G7*(1+IF(G2&gt;=Допущения!$B$28,Допущения!$B$27,0)*Допущения!$E$18)</f>
        <v>2184</v>
      </c>
      <c r="H12" s="72" t="n">
        <f aca="false">H11*Допущения!$E$7*(1+Допущения!$E$9)*H7*(1+IF(H2&gt;=Допущения!$B$28,Допущения!$B$27,0)*Допущения!$E$18)</f>
        <v>2496</v>
      </c>
      <c r="I12" s="72" t="n">
        <f aca="false">I11*Допущения!$E$7*(1+Допущения!$E$9)*I7*(1+IF(I2&gt;=Допущения!$B$28,Допущения!$B$27,0)*Допущения!$E$18)</f>
        <v>2808</v>
      </c>
      <c r="J12" s="72" t="n">
        <f aca="false">J11*Допущения!$E$7*(1+Допущения!$E$9)*J7*(1+IF(J2&gt;=Допущения!$B$28,Допущения!$B$27,0)*Допущения!$E$18)</f>
        <v>3120</v>
      </c>
      <c r="K12" s="72" t="n">
        <f aca="false">K11*Допущения!$E$7*(1+Допущения!$E$9)*K7*(1+IF(K2&gt;=Допущения!$B$28,Допущения!$B$27,0)*Допущения!$E$18)</f>
        <v>3432</v>
      </c>
      <c r="L12" s="72" t="n">
        <f aca="false">L11*Допущения!$E$7*(1+Допущения!$E$9)*L7*(1+IF(L2&gt;=Допущения!$B$28,Допущения!$B$27,0)*Допущения!$E$18)</f>
        <v>3744</v>
      </c>
      <c r="M12" s="72" t="n">
        <f aca="false">M11*Допущения!$E$7*(1+Допущения!$E$9)*M7*(1+IF(M2&gt;=Допущения!$B$28,Допущения!$B$27,0)*Допущения!$E$18)</f>
        <v>4056</v>
      </c>
      <c r="N12" s="72" t="n">
        <f aca="false">N11*Допущения!$E$7*(1+Допущения!$E$9)*N7*(1+IF(N2&gt;=Допущения!$B$28,Допущения!$B$27,0)*Допущения!$E$18)</f>
        <v>4368</v>
      </c>
      <c r="O12" s="72" t="n">
        <f aca="false">O11*Допущения!$E$7*(1+Допущения!$E$9)*O7*(1+IF(O2&gt;=Допущения!$B$28,Допущения!$B$27,0)*Допущения!$E$18)</f>
        <v>4680</v>
      </c>
      <c r="P12" s="72" t="n">
        <f aca="false">P11*Допущения!$E$7*(1+Допущения!$E$9)*P7*(1+IF(P2&gt;=Допущения!$B$28,Допущения!$B$27,0)*Допущения!$E$18)</f>
        <v>5812.56</v>
      </c>
      <c r="Q12" s="72" t="n">
        <f aca="false">Q11*Допущения!$E$7*(1+Допущения!$E$9)*Q7*(1+IF(Q2&gt;=Допущения!$B$28,Допущения!$B$27,0)*Допущения!$E$18)</f>
        <v>6243.12</v>
      </c>
      <c r="R12" s="72" t="n">
        <f aca="false">R11*Допущения!$E$7*(1+Допущения!$E$9)*R7*(1+IF(R2&gt;=Допущения!$B$28,Допущения!$B$27,0)*Допущения!$E$18)</f>
        <v>6383.52</v>
      </c>
      <c r="S12" s="72" t="n">
        <f aca="false">S11*Допущения!$E$7*(1+Допущения!$E$9)*S7*(1+IF(S2&gt;=Допущения!$B$28,Допущения!$B$27,0)*Допущения!$E$18)</f>
        <v>6177.6</v>
      </c>
      <c r="T12" s="72" t="n">
        <f aca="false">T11*Допущения!$E$7*(1+Допущения!$E$9)*T7*(1+IF(T2&gt;=Допущения!$B$28,Допущения!$B$27,0)*Допущения!$E$18)</f>
        <v>6552</v>
      </c>
      <c r="U12" s="72" t="n">
        <f aca="false">U11*Допущения!$E$7*(1+Допущения!$E$9)*U7*(1+IF(U2&gt;=Допущения!$B$28,Допущения!$B$27,0)*Допущения!$E$18)</f>
        <v>6926.4</v>
      </c>
      <c r="V12" s="72" t="n">
        <f aca="false">V11*Допущения!$E$7*(1+Допущения!$E$9)*V7*(1+IF(V2&gt;=Допущения!$B$28,Допущения!$B$27,0)*Допущения!$E$18)</f>
        <v>7300.8</v>
      </c>
      <c r="W12" s="72" t="n">
        <f aca="false">W11*Допущения!$E$7*(1+Допущения!$E$9)*W7*(1+IF(W2&gt;=Допущения!$B$28,Допущения!$B$27,0)*Допущения!$E$18)</f>
        <v>7675.2</v>
      </c>
      <c r="X12" s="72" t="n">
        <f aca="false">X11*Допущения!$E$7*(1+Допущения!$E$9)*X7*(1+IF(X2&gt;=Допущения!$B$28,Допущения!$B$27,0)*Допущения!$E$18)</f>
        <v>8049.6</v>
      </c>
      <c r="Y12" s="72" t="n">
        <f aca="false">Y11*Допущения!$E$7*(1+Допущения!$E$9)*Y7*(1+IF(Y2&gt;=Допущения!$B$28,Допущения!$B$27,0)*Допущения!$E$18)</f>
        <v>8424</v>
      </c>
      <c r="Z12" s="72" t="n">
        <f aca="false">Z11*Допущения!$E$7*(1+Допущения!$E$9)*Z7*(1+IF(Z2&gt;=Допущения!$B$28,Допущения!$B$27,0)*Допущения!$E$18)</f>
        <v>8798.4</v>
      </c>
      <c r="AA12" s="72" t="n">
        <f aca="false">AA11*Допущения!$E$7*(1+Допущения!$E$9)*AA7*(1+IF(AA2&gt;=Допущения!$B$28,Допущения!$B$27,0)*Допущения!$E$18)</f>
        <v>9172.8</v>
      </c>
      <c r="AB12" s="72" t="n">
        <f aca="false">AB11*Допущения!$E$7*(1+Допущения!$E$9)*AB7*(1+IF(AB2&gt;=Допущения!$B$28,Допущения!$B$27,0)*Допущения!$E$18)</f>
        <v>10979.28</v>
      </c>
      <c r="AC12" s="72" t="n">
        <f aca="false">AC11*Допущения!$E$7*(1+Допущения!$E$9)*AC7*(1+IF(AC2&gt;=Допущения!$B$28,Допущения!$B$27,0)*Допущения!$E$18)</f>
        <v>11409.84</v>
      </c>
      <c r="AD12" s="72" t="n">
        <f aca="false">AD11*Допущения!$E$7*(1+Допущения!$E$9)*AD7*(1+IF(AD2&gt;=Допущения!$B$28,Допущения!$B$27,0)*Допущения!$E$18)</f>
        <v>11325.6</v>
      </c>
      <c r="AE12" s="72" t="n">
        <f aca="false">AE11*Допущения!$E$7*(1+Допущения!$E$9)*AE7*(1+IF(AE2&gt;=Допущения!$B$28,Допущения!$B$27,0)*Допущения!$E$18)</f>
        <v>10670.4</v>
      </c>
      <c r="AF12" s="72" t="n">
        <f aca="false">AF11*Допущения!$E$7*(1+Допущения!$E$9)*AF7*(1+IF(AF2&gt;=Допущения!$B$28,Допущения!$B$27,0)*Допущения!$E$18)</f>
        <v>11044.8</v>
      </c>
      <c r="AG12" s="72" t="n">
        <f aca="false">AG11*Допущения!$E$7*(1+Допущения!$E$9)*AG7*(1+IF(AG2&gt;=Допущения!$B$28,Допущения!$B$27,0)*Допущения!$E$18)</f>
        <v>11419.2</v>
      </c>
      <c r="AH12" s="72" t="n">
        <f aca="false">AH11*Допущения!$E$7*(1+Допущения!$E$9)*AH7*(1+IF(AH2&gt;=Допущения!$B$28,Допущения!$B$27,0)*Допущения!$E$18)</f>
        <v>11793.6</v>
      </c>
      <c r="AI12" s="72" t="n">
        <f aca="false">AI11*Допущения!$E$7*(1+Допущения!$E$9)*AI7*(1+IF(AI2&gt;=Допущения!$B$28,Допущения!$B$27,0)*Допущения!$E$18)</f>
        <v>12168</v>
      </c>
      <c r="AJ12" s="72" t="n">
        <f aca="false">AJ11*Допущения!$E$7*(1+Допущения!$E$9)*AJ7*(1+IF(AJ2&gt;=Допущения!$B$28,Допущения!$B$27,0)*Допущения!$E$18)</f>
        <v>12480</v>
      </c>
      <c r="AK12" s="72" t="n">
        <f aca="false">AK11*Допущения!$E$7*(1+Допущения!$E$9)*AK7*(1+IF(AK2&gt;=Допущения!$B$28,Допущения!$B$27,0)*Допущения!$E$18)</f>
        <v>12480</v>
      </c>
      <c r="AL12" s="72" t="n">
        <f aca="false">AL11*Допущения!$E$7*(1+Допущения!$E$9)*AL7*(1+IF(AL2&gt;=Допущения!$B$28,Допущения!$B$27,0)*Допущения!$E$18)</f>
        <v>12480</v>
      </c>
      <c r="AM12" s="72" t="n">
        <f aca="false">AM11*Допущения!$E$7*(1+Допущения!$E$9)*AM7*(1+IF(AM2&gt;=Допущения!$B$28,Допущения!$B$27,0)*Допущения!$E$18)</f>
        <v>12480</v>
      </c>
    </row>
    <row r="13" customFormat="false" ht="15" hidden="false" customHeight="true" outlineLevel="0" collapsed="false">
      <c r="A13" s="16" t="s">
        <v>473</v>
      </c>
      <c r="C13" s="73" t="n">
        <f aca="false">C12*Допущения!$E$10</f>
        <v>0</v>
      </c>
      <c r="D13" s="73" t="n">
        <f aca="false">D12*Допущения!$E$10</f>
        <v>50.6</v>
      </c>
      <c r="E13" s="73" t="n">
        <f aca="false">E12*Допущения!$E$10</f>
        <v>138</v>
      </c>
      <c r="F13" s="73" t="n">
        <f aca="false">F12*Допущения!$E$10</f>
        <v>158.4</v>
      </c>
      <c r="G13" s="73" t="n">
        <f aca="false">G12*Допущения!$E$10</f>
        <v>218.4</v>
      </c>
      <c r="H13" s="73" t="n">
        <f aca="false">H12*Допущения!$E$10</f>
        <v>249.6</v>
      </c>
      <c r="I13" s="73" t="n">
        <f aca="false">I12*Допущения!$E$10</f>
        <v>280.8</v>
      </c>
      <c r="J13" s="73" t="n">
        <f aca="false">J12*Допущения!$E$10</f>
        <v>312</v>
      </c>
      <c r="K13" s="73" t="n">
        <f aca="false">K12*Допущения!$E$10</f>
        <v>343.2</v>
      </c>
      <c r="L13" s="73" t="n">
        <f aca="false">L12*Допущения!$E$10</f>
        <v>374.4</v>
      </c>
      <c r="M13" s="73" t="n">
        <f aca="false">M12*Допущения!$E$10</f>
        <v>405.6</v>
      </c>
      <c r="N13" s="73" t="n">
        <f aca="false">N12*Допущения!$E$10</f>
        <v>436.8</v>
      </c>
      <c r="O13" s="73" t="n">
        <f aca="false">O12*Допущения!$E$10</f>
        <v>468</v>
      </c>
      <c r="P13" s="73" t="n">
        <f aca="false">P12*Допущения!$E$10</f>
        <v>581.256</v>
      </c>
      <c r="Q13" s="73" t="n">
        <f aca="false">Q12*Допущения!$E$10</f>
        <v>624.312</v>
      </c>
      <c r="R13" s="73" t="n">
        <f aca="false">R12*Допущения!$E$10</f>
        <v>638.352</v>
      </c>
      <c r="S13" s="73" t="n">
        <f aca="false">S12*Допущения!$E$10</f>
        <v>617.76</v>
      </c>
      <c r="T13" s="73" t="n">
        <f aca="false">T12*Допущения!$E$10</f>
        <v>655.2</v>
      </c>
      <c r="U13" s="73" t="n">
        <f aca="false">U12*Допущения!$E$10</f>
        <v>692.64</v>
      </c>
      <c r="V13" s="73" t="n">
        <f aca="false">V12*Допущения!$E$10</f>
        <v>730.08</v>
      </c>
      <c r="W13" s="73" t="n">
        <f aca="false">W12*Допущения!$E$10</f>
        <v>767.52</v>
      </c>
      <c r="X13" s="73" t="n">
        <f aca="false">X12*Допущения!$E$10</f>
        <v>804.96</v>
      </c>
      <c r="Y13" s="73" t="n">
        <f aca="false">Y12*Допущения!$E$10</f>
        <v>842.4</v>
      </c>
      <c r="Z13" s="73" t="n">
        <f aca="false">Z12*Допущения!$E$10</f>
        <v>879.84</v>
      </c>
      <c r="AA13" s="73" t="n">
        <f aca="false">AA12*Допущения!$E$10</f>
        <v>917.28</v>
      </c>
      <c r="AB13" s="73" t="n">
        <f aca="false">AB12*Допущения!$E$10</f>
        <v>1097.928</v>
      </c>
      <c r="AC13" s="73" t="n">
        <f aca="false">AC12*Допущения!$E$10</f>
        <v>1140.984</v>
      </c>
      <c r="AD13" s="73" t="n">
        <f aca="false">AD12*Допущения!$E$10</f>
        <v>1132.56</v>
      </c>
      <c r="AE13" s="73" t="n">
        <f aca="false">AE12*Допущения!$E$10</f>
        <v>1067.04</v>
      </c>
      <c r="AF13" s="73" t="n">
        <f aca="false">AF12*Допущения!$E$10</f>
        <v>1104.48</v>
      </c>
      <c r="AG13" s="73" t="n">
        <f aca="false">AG12*Допущения!$E$10</f>
        <v>1141.92</v>
      </c>
      <c r="AH13" s="73" t="n">
        <f aca="false">AH12*Допущения!$E$10</f>
        <v>1179.36</v>
      </c>
      <c r="AI13" s="73" t="n">
        <f aca="false">AI12*Допущения!$E$10</f>
        <v>1216.8</v>
      </c>
      <c r="AJ13" s="73" t="n">
        <f aca="false">AJ12*Допущения!$E$10</f>
        <v>1248</v>
      </c>
      <c r="AK13" s="73" t="n">
        <f aca="false">AK12*Допущения!$E$10</f>
        <v>1248</v>
      </c>
      <c r="AL13" s="73" t="n">
        <f aca="false">AL12*Допущения!$E$10</f>
        <v>1248</v>
      </c>
      <c r="AM13" s="73" t="n">
        <f aca="false">AM12*Допущения!$E$10</f>
        <v>1248</v>
      </c>
    </row>
    <row r="14" customFormat="false" ht="15" hidden="false" customHeight="true" outlineLevel="0" collapsed="false">
      <c r="A14" s="16" t="s">
        <v>474</v>
      </c>
      <c r="C14" s="73" t="n">
        <f aca="false">(C12+C13)*Допущения!$E$11</f>
        <v>0</v>
      </c>
      <c r="D14" s="73" t="n">
        <f aca="false">(D12+D13)*Допущения!$E$11</f>
        <v>83.4900000000001</v>
      </c>
      <c r="E14" s="73" t="n">
        <f aca="false">(E12+E13)*Допущения!$E$11</f>
        <v>227.7</v>
      </c>
      <c r="F14" s="73" t="n">
        <f aca="false">(F12+F13)*Допущения!$E$11</f>
        <v>261.36</v>
      </c>
      <c r="G14" s="73" t="n">
        <f aca="false">(G12+G13)*Допущения!$E$11</f>
        <v>360.36</v>
      </c>
      <c r="H14" s="73" t="n">
        <f aca="false">(H12+H13)*Допущения!$E$11</f>
        <v>411.84</v>
      </c>
      <c r="I14" s="73" t="n">
        <f aca="false">(I12+I13)*Допущения!$E$11</f>
        <v>463.32</v>
      </c>
      <c r="J14" s="73" t="n">
        <f aca="false">(J12+J13)*Допущения!$E$11</f>
        <v>514.8</v>
      </c>
      <c r="K14" s="73" t="n">
        <f aca="false">(K12+K13)*Допущения!$E$11</f>
        <v>566.28</v>
      </c>
      <c r="L14" s="73" t="n">
        <f aca="false">(L12+L13)*Допущения!$E$11</f>
        <v>617.76</v>
      </c>
      <c r="M14" s="73" t="n">
        <f aca="false">(M12+M13)*Допущения!$E$11</f>
        <v>669.24</v>
      </c>
      <c r="N14" s="73" t="n">
        <f aca="false">(N12+N13)*Допущения!$E$11</f>
        <v>720.72</v>
      </c>
      <c r="O14" s="73" t="n">
        <f aca="false">(O12+O13)*Допущения!$E$11</f>
        <v>772.2</v>
      </c>
      <c r="P14" s="73" t="n">
        <f aca="false">(P12+P13)*Допущения!$E$11</f>
        <v>959.0724</v>
      </c>
      <c r="Q14" s="73" t="n">
        <f aca="false">(Q12+Q13)*Допущения!$E$11</f>
        <v>1030.1148</v>
      </c>
      <c r="R14" s="73" t="n">
        <f aca="false">(R12+R13)*Допущения!$E$11</f>
        <v>1053.2808</v>
      </c>
      <c r="S14" s="73" t="n">
        <f aca="false">(S12+S13)*Допущения!$E$11</f>
        <v>1019.304</v>
      </c>
      <c r="T14" s="73" t="n">
        <f aca="false">(T12+T13)*Допущения!$E$11</f>
        <v>1081.08</v>
      </c>
      <c r="U14" s="73" t="n">
        <f aca="false">(U12+U13)*Допущения!$E$11</f>
        <v>1142.856</v>
      </c>
      <c r="V14" s="73" t="n">
        <f aca="false">(V12+V13)*Допущения!$E$11</f>
        <v>1204.632</v>
      </c>
      <c r="W14" s="73" t="n">
        <f aca="false">(W12+W13)*Допущения!$E$11</f>
        <v>1266.408</v>
      </c>
      <c r="X14" s="73" t="n">
        <f aca="false">(X12+X13)*Допущения!$E$11</f>
        <v>1328.184</v>
      </c>
      <c r="Y14" s="73" t="n">
        <f aca="false">(Y12+Y13)*Допущения!$E$11</f>
        <v>1389.96</v>
      </c>
      <c r="Z14" s="73" t="n">
        <f aca="false">(Z12+Z13)*Допущения!$E$11</f>
        <v>1451.736</v>
      </c>
      <c r="AA14" s="73" t="n">
        <f aca="false">(AA12+AA13)*Допущения!$E$11</f>
        <v>1513.512</v>
      </c>
      <c r="AB14" s="73" t="n">
        <f aca="false">(AB12+AB13)*Допущения!$E$11</f>
        <v>1811.5812</v>
      </c>
      <c r="AC14" s="73" t="n">
        <f aca="false">(AC12+AC13)*Допущения!$E$11</f>
        <v>1882.6236</v>
      </c>
      <c r="AD14" s="73" t="n">
        <f aca="false">(AD12+AD13)*Допущения!$E$11</f>
        <v>1868.724</v>
      </c>
      <c r="AE14" s="73" t="n">
        <f aca="false">(AE12+AE13)*Допущения!$E$11</f>
        <v>1760.616</v>
      </c>
      <c r="AF14" s="73" t="n">
        <f aca="false">(AF12+AF13)*Допущения!$E$11</f>
        <v>1822.392</v>
      </c>
      <c r="AG14" s="73" t="n">
        <f aca="false">(AG12+AG13)*Допущения!$E$11</f>
        <v>1884.168</v>
      </c>
      <c r="AH14" s="73" t="n">
        <f aca="false">(AH12+AH13)*Допущения!$E$11</f>
        <v>1945.944</v>
      </c>
      <c r="AI14" s="73" t="n">
        <f aca="false">(AI12+AI13)*Допущения!$E$11</f>
        <v>2007.72</v>
      </c>
      <c r="AJ14" s="73" t="n">
        <f aca="false">(AJ12+AJ13)*Допущения!$E$11</f>
        <v>2059.2</v>
      </c>
      <c r="AK14" s="73" t="n">
        <f aca="false">(AK12+AK13)*Допущения!$E$11</f>
        <v>2059.2</v>
      </c>
      <c r="AL14" s="73" t="n">
        <f aca="false">(AL12+AL13)*Допущения!$E$11</f>
        <v>2059.2</v>
      </c>
      <c r="AM14" s="73" t="n">
        <f aca="false">(AM12+AM13)*Допущения!$E$11</f>
        <v>2059.2</v>
      </c>
    </row>
    <row r="15" customFormat="false" ht="15" hidden="false" customHeight="true" outlineLevel="0" collapsed="false">
      <c r="A15" s="27" t="s">
        <v>475</v>
      </c>
      <c r="C15" s="72" t="n">
        <v>0</v>
      </c>
      <c r="D15" s="72" t="n">
        <f aca="false">C15*(1-Допущения!$E$12)+D14</f>
        <v>83.4900000000001</v>
      </c>
      <c r="E15" s="72" t="n">
        <f aca="false">D15*(1-Допущения!$E$12)+E14</f>
        <v>302.841</v>
      </c>
      <c r="F15" s="72" t="n">
        <f aca="false">E15*(1-Допущения!$E$12)+F14</f>
        <v>533.9169</v>
      </c>
      <c r="G15" s="72" t="n">
        <f aca="false">F15*(1-Допущения!$E$12)+G14</f>
        <v>840.88521</v>
      </c>
      <c r="H15" s="72" t="n">
        <f aca="false">G15*(1-Допущения!$E$12)+H14</f>
        <v>1168.636689</v>
      </c>
      <c r="I15" s="72" t="n">
        <f aca="false">H15*(1-Допущения!$E$12)+I14</f>
        <v>1515.0930201</v>
      </c>
      <c r="J15" s="72" t="n">
        <f aca="false">I15*(1-Допущения!$E$12)+J14</f>
        <v>1878.38371809</v>
      </c>
      <c r="K15" s="72" t="n">
        <f aca="false">J15*(1-Допущения!$E$12)+K14</f>
        <v>2256.825346281</v>
      </c>
      <c r="L15" s="72" t="n">
        <f aca="false">K15*(1-Допущения!$E$12)+L14</f>
        <v>2648.9028116529</v>
      </c>
      <c r="M15" s="72" t="n">
        <f aca="false">L15*(1-Допущения!$E$12)+M14</f>
        <v>3053.25253048761</v>
      </c>
      <c r="N15" s="72" t="n">
        <f aca="false">M15*(1-Допущения!$E$12)+N14</f>
        <v>3468.64727743885</v>
      </c>
      <c r="O15" s="72" t="n">
        <f aca="false">N15*(1-Допущения!$E$12)+O14</f>
        <v>3893.98254969496</v>
      </c>
      <c r="P15" s="72" t="n">
        <f aca="false">O15*(1-Допущения!$E$12)+P14</f>
        <v>4463.65669472547</v>
      </c>
      <c r="Q15" s="72" t="n">
        <f aca="false">P15*(1-Допущения!$E$12)+Q14</f>
        <v>5047.40582525292</v>
      </c>
      <c r="R15" s="72" t="n">
        <f aca="false">Q15*(1-Допущения!$E$12)+R14</f>
        <v>5595.94604272763</v>
      </c>
      <c r="S15" s="72" t="n">
        <f aca="false">R15*(1-Допущения!$E$12)+S14</f>
        <v>6055.65543845487</v>
      </c>
      <c r="T15" s="72" t="n">
        <f aca="false">S15*(1-Допущения!$E$12)+T14</f>
        <v>6531.16989460938</v>
      </c>
      <c r="U15" s="72" t="n">
        <f aca="false">T15*(1-Допущения!$E$12)+U14</f>
        <v>7020.90890514844</v>
      </c>
      <c r="V15" s="72" t="n">
        <f aca="false">U15*(1-Допущения!$E$12)+V14</f>
        <v>7523.4500146336</v>
      </c>
      <c r="W15" s="72" t="n">
        <f aca="false">V15*(1-Допущения!$E$12)+W14</f>
        <v>8037.51301317024</v>
      </c>
      <c r="X15" s="72" t="n">
        <f aca="false">W15*(1-Допущения!$E$12)+X14</f>
        <v>8561.94571185321</v>
      </c>
      <c r="Y15" s="72" t="n">
        <f aca="false">X15*(1-Допущения!$E$12)+Y14</f>
        <v>9095.71114066789</v>
      </c>
      <c r="Z15" s="72" t="n">
        <f aca="false">Y15*(1-Допущения!$E$12)+Z14</f>
        <v>9637.8760266011</v>
      </c>
      <c r="AA15" s="72" t="n">
        <f aca="false">Z15*(1-Допущения!$E$12)+AA14</f>
        <v>10187.600423941</v>
      </c>
      <c r="AB15" s="72" t="n">
        <f aca="false">AA15*(1-Допущения!$E$12)+AB14</f>
        <v>10980.4215815469</v>
      </c>
      <c r="AC15" s="72" t="n">
        <f aca="false">AB15*(1-Допущения!$E$12)+AC14</f>
        <v>11765.0030233922</v>
      </c>
      <c r="AD15" s="72" t="n">
        <f aca="false">AC15*(1-Допущения!$E$12)+AD14</f>
        <v>12457.226721053</v>
      </c>
      <c r="AE15" s="72" t="n">
        <f aca="false">AD15*(1-Допущения!$E$12)+AE14</f>
        <v>12972.1200489477</v>
      </c>
      <c r="AF15" s="72" t="n">
        <f aca="false">AE15*(1-Допущения!$E$12)+AF14</f>
        <v>13497.3000440529</v>
      </c>
      <c r="AG15" s="72" t="n">
        <f aca="false">AF15*(1-Допущения!$E$12)+AG14</f>
        <v>14031.7380396476</v>
      </c>
      <c r="AH15" s="72" t="n">
        <f aca="false">AG15*(1-Допущения!$E$12)+AH14</f>
        <v>14574.5082356829</v>
      </c>
      <c r="AI15" s="72" t="n">
        <f aca="false">AH15*(1-Допущения!$E$12)+AI14</f>
        <v>15124.7774121146</v>
      </c>
      <c r="AJ15" s="72" t="n">
        <f aca="false">AI15*(1-Допущения!$E$12)+AJ14</f>
        <v>15671.4996709031</v>
      </c>
      <c r="AK15" s="72" t="n">
        <f aca="false">AJ15*(1-Допущения!$E$12)+AK14</f>
        <v>16163.5497038128</v>
      </c>
      <c r="AL15" s="72" t="n">
        <f aca="false">AK15*(1-Допущения!$E$12)+AL14</f>
        <v>16606.3947334315</v>
      </c>
      <c r="AM15" s="72" t="n">
        <f aca="false">AL15*(1-Допущения!$E$12)+AM14</f>
        <v>17004.9552600884</v>
      </c>
    </row>
    <row r="16" customFormat="false" ht="15" hidden="false" customHeight="true" outlineLevel="0" collapsed="false">
      <c r="A16" s="16" t="s">
        <v>476</v>
      </c>
      <c r="C16" s="73" t="n">
        <v>0</v>
      </c>
      <c r="D16" s="73" t="n">
        <f aca="false">C15</f>
        <v>0</v>
      </c>
      <c r="E16" s="73" t="n">
        <f aca="false">D15</f>
        <v>83.4900000000001</v>
      </c>
      <c r="F16" s="73" t="n">
        <f aca="false">E15</f>
        <v>302.841</v>
      </c>
      <c r="G16" s="73" t="n">
        <f aca="false">F15</f>
        <v>533.9169</v>
      </c>
      <c r="H16" s="73" t="n">
        <f aca="false">G15</f>
        <v>840.88521</v>
      </c>
      <c r="I16" s="73" t="n">
        <f aca="false">H15</f>
        <v>1168.636689</v>
      </c>
      <c r="J16" s="73" t="n">
        <f aca="false">I15</f>
        <v>1515.0930201</v>
      </c>
      <c r="K16" s="73" t="n">
        <f aca="false">J15</f>
        <v>1878.38371809</v>
      </c>
      <c r="L16" s="73" t="n">
        <f aca="false">K15</f>
        <v>2256.825346281</v>
      </c>
      <c r="M16" s="73" t="n">
        <f aca="false">L15</f>
        <v>2648.9028116529</v>
      </c>
      <c r="N16" s="73" t="n">
        <f aca="false">M15</f>
        <v>3053.25253048761</v>
      </c>
      <c r="O16" s="73" t="n">
        <f aca="false">N15</f>
        <v>3468.64727743885</v>
      </c>
      <c r="P16" s="73" t="n">
        <f aca="false">O15</f>
        <v>3893.98254969496</v>
      </c>
      <c r="Q16" s="73" t="n">
        <f aca="false">P15</f>
        <v>4463.65669472547</v>
      </c>
      <c r="R16" s="73" t="n">
        <f aca="false">Q15</f>
        <v>5047.40582525292</v>
      </c>
      <c r="S16" s="73" t="n">
        <f aca="false">R15</f>
        <v>5595.94604272763</v>
      </c>
      <c r="T16" s="73" t="n">
        <f aca="false">S15</f>
        <v>6055.65543845487</v>
      </c>
      <c r="U16" s="73" t="n">
        <f aca="false">T15</f>
        <v>6531.16989460938</v>
      </c>
      <c r="V16" s="73" t="n">
        <f aca="false">U15</f>
        <v>7020.90890514844</v>
      </c>
      <c r="W16" s="73" t="n">
        <f aca="false">V15</f>
        <v>7523.4500146336</v>
      </c>
      <c r="X16" s="73" t="n">
        <f aca="false">W15</f>
        <v>8037.51301317024</v>
      </c>
      <c r="Y16" s="73" t="n">
        <f aca="false">X15</f>
        <v>8561.94571185321</v>
      </c>
      <c r="Z16" s="73" t="n">
        <f aca="false">Y15</f>
        <v>9095.71114066789</v>
      </c>
      <c r="AA16" s="73" t="n">
        <f aca="false">Z15</f>
        <v>9637.8760266011</v>
      </c>
      <c r="AB16" s="73" t="n">
        <f aca="false">AA15</f>
        <v>10187.600423941</v>
      </c>
      <c r="AC16" s="73" t="n">
        <f aca="false">AB15</f>
        <v>10980.4215815469</v>
      </c>
      <c r="AD16" s="73" t="n">
        <f aca="false">AC15</f>
        <v>11765.0030233922</v>
      </c>
      <c r="AE16" s="73" t="n">
        <f aca="false">AD15</f>
        <v>12457.226721053</v>
      </c>
      <c r="AF16" s="73" t="n">
        <f aca="false">AE15</f>
        <v>12972.1200489477</v>
      </c>
      <c r="AG16" s="73" t="n">
        <f aca="false">AF15</f>
        <v>13497.3000440529</v>
      </c>
      <c r="AH16" s="73" t="n">
        <f aca="false">AG15</f>
        <v>14031.7380396476</v>
      </c>
      <c r="AI16" s="73" t="n">
        <f aca="false">AH15</f>
        <v>14574.5082356829</v>
      </c>
      <c r="AJ16" s="73" t="n">
        <f aca="false">AI15</f>
        <v>15124.7774121146</v>
      </c>
      <c r="AK16" s="73" t="n">
        <f aca="false">AJ15</f>
        <v>15671.4996709031</v>
      </c>
      <c r="AL16" s="73" t="n">
        <f aca="false">AK15</f>
        <v>16163.5497038128</v>
      </c>
      <c r="AM16" s="73" t="n">
        <f aca="false">AL15</f>
        <v>16606.3947334315</v>
      </c>
    </row>
    <row r="17" customFormat="false" ht="15" hidden="false" customHeight="true" outlineLevel="0" collapsed="false">
      <c r="A17" s="16" t="s">
        <v>198</v>
      </c>
      <c r="C17" s="74" t="n">
        <f aca="false">IF(C2&lt;Допущения!$B$35,0,IF(C2-Допущения!$B$35&lt;=Допущения!$B$37,Допущения!$B$36+(Допущения!$E$15-Допущения!$B$36)*(C2-Допущения!$B$35)/Допущения!$B$37,Допущения!$E$15+Допущения!$E$16*(C2-Допущения!$B$35-Допущения!$B$37)))</f>
        <v>0</v>
      </c>
      <c r="D17" s="74" t="n">
        <f aca="false">IF(D2&lt;Допущения!$B$35,0,IF(D2-Допущения!$B$35&lt;=Допущения!$B$37,Допущения!$B$36+(Допущения!$E$15-Допущения!$B$36)*(D2-Допущения!$B$35)/Допущения!$B$37,Допущения!$E$15+Допущения!$E$16*(D2-Допущения!$B$35-Допущения!$B$37)))</f>
        <v>0</v>
      </c>
      <c r="E17" s="74" t="n">
        <f aca="false">IF(E2&lt;Допущения!$B$35,0,IF(E2-Допущения!$B$35&lt;=Допущения!$B$37,Допущения!$B$36+(Допущения!$E$15-Допущения!$B$36)*(E2-Допущения!$B$35)/Допущения!$B$37,Допущения!$E$15+Допущения!$E$16*(E2-Допущения!$B$35-Допущения!$B$37)))</f>
        <v>0</v>
      </c>
      <c r="F17" s="74" t="n">
        <f aca="false">IF(F2&lt;Допущения!$B$35,0,IF(F2-Допущения!$B$35&lt;=Допущения!$B$37,Допущения!$B$36+(Допущения!$E$15-Допущения!$B$36)*(F2-Допущения!$B$35)/Допущения!$B$37,Допущения!$E$15+Допущения!$E$16*(F2-Допущения!$B$35-Допущения!$B$37)))</f>
        <v>0</v>
      </c>
      <c r="G17" s="74" t="n">
        <f aca="false">IF(G2&lt;Допущения!$B$35,0,IF(G2-Допущения!$B$35&lt;=Допущения!$B$37,Допущения!$B$36+(Допущения!$E$15-Допущения!$B$36)*(G2-Допущения!$B$35)/Допущения!$B$37,Допущения!$E$15+Допущения!$E$16*(G2-Допущения!$B$35-Допущения!$B$37)))</f>
        <v>0</v>
      </c>
      <c r="H17" s="74" t="n">
        <f aca="false">IF(H2&lt;Допущения!$B$35,0,IF(H2-Допущения!$B$35&lt;=Допущения!$B$37,Допущения!$B$36+(Допущения!$E$15-Допущения!$B$36)*(H2-Допущения!$B$35)/Допущения!$B$37,Допущения!$E$15+Допущения!$E$16*(H2-Допущения!$B$35-Допущения!$B$37)))</f>
        <v>5</v>
      </c>
      <c r="I17" s="74" t="n">
        <f aca="false">IF(I2&lt;Допущения!$B$35,0,IF(I2-Допущения!$B$35&lt;=Допущения!$B$37,Допущения!$B$36+(Допущения!$E$15-Допущения!$B$36)*(I2-Допущения!$B$35)/Допущения!$B$37,Допущения!$E$15+Допущения!$E$16*(I2-Допущения!$B$35-Допущения!$B$37)))</f>
        <v>9.16666666666667</v>
      </c>
      <c r="J17" s="74" t="n">
        <f aca="false">IF(J2&lt;Допущения!$B$35,0,IF(J2-Допущения!$B$35&lt;=Допущения!$B$37,Допущения!$B$36+(Допущения!$E$15-Допущения!$B$36)*(J2-Допущения!$B$35)/Допущения!$B$37,Допущения!$E$15+Допущения!$E$16*(J2-Допущения!$B$35-Допущения!$B$37)))</f>
        <v>13.3333333333333</v>
      </c>
      <c r="K17" s="74" t="n">
        <f aca="false">IF(K2&lt;Допущения!$B$35,0,IF(K2-Допущения!$B$35&lt;=Допущения!$B$37,Допущения!$B$36+(Допущения!$E$15-Допущения!$B$36)*(K2-Допущения!$B$35)/Допущения!$B$37,Допущения!$E$15+Допущения!$E$16*(K2-Допущения!$B$35-Допущения!$B$37)))</f>
        <v>17.5</v>
      </c>
      <c r="L17" s="74" t="n">
        <f aca="false">IF(L2&lt;Допущения!$B$35,0,IF(L2-Допущения!$B$35&lt;=Допущения!$B$37,Допущения!$B$36+(Допущения!$E$15-Допущения!$B$36)*(L2-Допущения!$B$35)/Допущения!$B$37,Допущения!$E$15+Допущения!$E$16*(L2-Допущения!$B$35-Допущения!$B$37)))</f>
        <v>21.6666666666667</v>
      </c>
      <c r="M17" s="74" t="n">
        <f aca="false">IF(M2&lt;Допущения!$B$35,0,IF(M2-Допущения!$B$35&lt;=Допущения!$B$37,Допущения!$B$36+(Допущения!$E$15-Допущения!$B$36)*(M2-Допущения!$B$35)/Допущения!$B$37,Допущения!$E$15+Допущения!$E$16*(M2-Допущения!$B$35-Допущения!$B$37)))</f>
        <v>25.8333333333333</v>
      </c>
      <c r="N17" s="74" t="n">
        <f aca="false">IF(N2&lt;Допущения!$B$35,0,IF(N2-Допущения!$B$35&lt;=Допущения!$B$37,Допущения!$B$36+(Допущения!$E$15-Допущения!$B$36)*(N2-Допущения!$B$35)/Допущения!$B$37,Допущения!$E$15+Допущения!$E$16*(N2-Допущения!$B$35-Допущения!$B$37)))</f>
        <v>30</v>
      </c>
      <c r="O17" s="74" t="n">
        <f aca="false">IF(O2&lt;Допущения!$B$35,0,IF(O2-Допущения!$B$35&lt;=Допущения!$B$37,Допущения!$B$36+(Допущения!$E$15-Допущения!$B$36)*(O2-Допущения!$B$35)/Допущения!$B$37,Допущения!$E$15+Допущения!$E$16*(O2-Допущения!$B$35-Допущения!$B$37)))</f>
        <v>31.5</v>
      </c>
      <c r="P17" s="74" t="n">
        <f aca="false">IF(P2&lt;Допущения!$B$35,0,IF(P2-Допущения!$B$35&lt;=Допущения!$B$37,Допущения!$B$36+(Допущения!$E$15-Допущения!$B$36)*(P2-Допущения!$B$35)/Допущения!$B$37,Допущения!$E$15+Допущения!$E$16*(P2-Допущения!$B$35-Допущения!$B$37)))</f>
        <v>33</v>
      </c>
      <c r="Q17" s="74" t="n">
        <f aca="false">IF(Q2&lt;Допущения!$B$35,0,IF(Q2-Допущения!$B$35&lt;=Допущения!$B$37,Допущения!$B$36+(Допущения!$E$15-Допущения!$B$36)*(Q2-Допущения!$B$35)/Допущения!$B$37,Допущения!$E$15+Допущения!$E$16*(Q2-Допущения!$B$35-Допущения!$B$37)))</f>
        <v>34.5</v>
      </c>
      <c r="R17" s="74" t="n">
        <f aca="false">IF(R2&lt;Допущения!$B$35,0,IF(R2-Допущения!$B$35&lt;=Допущения!$B$37,Допущения!$B$36+(Допущения!$E$15-Допущения!$B$36)*(R2-Допущения!$B$35)/Допущения!$B$37,Допущения!$E$15+Допущения!$E$16*(R2-Допущения!$B$35-Допущения!$B$37)))</f>
        <v>36</v>
      </c>
      <c r="S17" s="74" t="n">
        <f aca="false">IF(S2&lt;Допущения!$B$35,0,IF(S2-Допущения!$B$35&lt;=Допущения!$B$37,Допущения!$B$36+(Допущения!$E$15-Допущения!$B$36)*(S2-Допущения!$B$35)/Допущения!$B$37,Допущения!$E$15+Допущения!$E$16*(S2-Допущения!$B$35-Допущения!$B$37)))</f>
        <v>37.5</v>
      </c>
      <c r="T17" s="74" t="n">
        <f aca="false">IF(T2&lt;Допущения!$B$35,0,IF(T2-Допущения!$B$35&lt;=Допущения!$B$37,Допущения!$B$36+(Допущения!$E$15-Допущения!$B$36)*(T2-Допущения!$B$35)/Допущения!$B$37,Допущения!$E$15+Допущения!$E$16*(T2-Допущения!$B$35-Допущения!$B$37)))</f>
        <v>39</v>
      </c>
      <c r="U17" s="74" t="n">
        <f aca="false">IF(U2&lt;Допущения!$B$35,0,IF(U2-Допущения!$B$35&lt;=Допущения!$B$37,Допущения!$B$36+(Допущения!$E$15-Допущения!$B$36)*(U2-Допущения!$B$35)/Допущения!$B$37,Допущения!$E$15+Допущения!$E$16*(U2-Допущения!$B$35-Допущения!$B$37)))</f>
        <v>40.5</v>
      </c>
      <c r="V17" s="74" t="n">
        <f aca="false">IF(V2&lt;Допущения!$B$35,0,IF(V2-Допущения!$B$35&lt;=Допущения!$B$37,Допущения!$B$36+(Допущения!$E$15-Допущения!$B$36)*(V2-Допущения!$B$35)/Допущения!$B$37,Допущения!$E$15+Допущения!$E$16*(V2-Допущения!$B$35-Допущения!$B$37)))</f>
        <v>42</v>
      </c>
      <c r="W17" s="74" t="n">
        <f aca="false">IF(W2&lt;Допущения!$B$35,0,IF(W2-Допущения!$B$35&lt;=Допущения!$B$37,Допущения!$B$36+(Допущения!$E$15-Допущения!$B$36)*(W2-Допущения!$B$35)/Допущения!$B$37,Допущения!$E$15+Допущения!$E$16*(W2-Допущения!$B$35-Допущения!$B$37)))</f>
        <v>43.5</v>
      </c>
      <c r="X17" s="74" t="n">
        <f aca="false">IF(X2&lt;Допущения!$B$35,0,IF(X2-Допущения!$B$35&lt;=Допущения!$B$37,Допущения!$B$36+(Допущения!$E$15-Допущения!$B$36)*(X2-Допущения!$B$35)/Допущения!$B$37,Допущения!$E$15+Допущения!$E$16*(X2-Допущения!$B$35-Допущения!$B$37)))</f>
        <v>45</v>
      </c>
      <c r="Y17" s="74" t="n">
        <f aca="false">IF(Y2&lt;Допущения!$B$35,0,IF(Y2-Допущения!$B$35&lt;=Допущения!$B$37,Допущения!$B$36+(Допущения!$E$15-Допущения!$B$36)*(Y2-Допущения!$B$35)/Допущения!$B$37,Допущения!$E$15+Допущения!$E$16*(Y2-Допущения!$B$35-Допущения!$B$37)))</f>
        <v>46.5</v>
      </c>
      <c r="Z17" s="74" t="n">
        <f aca="false">IF(Z2&lt;Допущения!$B$35,0,IF(Z2-Допущения!$B$35&lt;=Допущения!$B$37,Допущения!$B$36+(Допущения!$E$15-Допущения!$B$36)*(Z2-Допущения!$B$35)/Допущения!$B$37,Допущения!$E$15+Допущения!$E$16*(Z2-Допущения!$B$35-Допущения!$B$37)))</f>
        <v>48</v>
      </c>
      <c r="AA17" s="74" t="n">
        <f aca="false">IF(AA2&lt;Допущения!$B$35,0,IF(AA2-Допущения!$B$35&lt;=Допущения!$B$37,Допущения!$B$36+(Допущения!$E$15-Допущения!$B$36)*(AA2-Допущения!$B$35)/Допущения!$B$37,Допущения!$E$15+Допущения!$E$16*(AA2-Допущения!$B$35-Допущения!$B$37)))</f>
        <v>49.5</v>
      </c>
      <c r="AB17" s="74" t="n">
        <f aca="false">IF(AB2&lt;Допущения!$B$35,0,IF(AB2-Допущения!$B$35&lt;=Допущения!$B$37,Допущения!$B$36+(Допущения!$E$15-Допущения!$B$36)*(AB2-Допущения!$B$35)/Допущения!$B$37,Допущения!$E$15+Допущения!$E$16*(AB2-Допущения!$B$35-Допущения!$B$37)))</f>
        <v>51</v>
      </c>
      <c r="AC17" s="74" t="n">
        <f aca="false">IF(AC2&lt;Допущения!$B$35,0,IF(AC2-Допущения!$B$35&lt;=Допущения!$B$37,Допущения!$B$36+(Допущения!$E$15-Допущения!$B$36)*(AC2-Допущения!$B$35)/Допущения!$B$37,Допущения!$E$15+Допущения!$E$16*(AC2-Допущения!$B$35-Допущения!$B$37)))</f>
        <v>52.5</v>
      </c>
      <c r="AD17" s="74" t="n">
        <f aca="false">IF(AD2&lt;Допущения!$B$35,0,IF(AD2-Допущения!$B$35&lt;=Допущения!$B$37,Допущения!$B$36+(Допущения!$E$15-Допущения!$B$36)*(AD2-Допущения!$B$35)/Допущения!$B$37,Допущения!$E$15+Допущения!$E$16*(AD2-Допущения!$B$35-Допущения!$B$37)))</f>
        <v>54</v>
      </c>
      <c r="AE17" s="74" t="n">
        <f aca="false">IF(AE2&lt;Допущения!$B$35,0,IF(AE2-Допущения!$B$35&lt;=Допущения!$B$37,Допущения!$B$36+(Допущения!$E$15-Допущения!$B$36)*(AE2-Допущения!$B$35)/Допущения!$B$37,Допущения!$E$15+Допущения!$E$16*(AE2-Допущения!$B$35-Допущения!$B$37)))</f>
        <v>55.5</v>
      </c>
      <c r="AF17" s="74" t="n">
        <f aca="false">IF(AF2&lt;Допущения!$B$35,0,IF(AF2-Допущения!$B$35&lt;=Допущения!$B$37,Допущения!$B$36+(Допущения!$E$15-Допущения!$B$36)*(AF2-Допущения!$B$35)/Допущения!$B$37,Допущения!$E$15+Допущения!$E$16*(AF2-Допущения!$B$35-Допущения!$B$37)))</f>
        <v>57</v>
      </c>
      <c r="AG17" s="74" t="n">
        <f aca="false">IF(AG2&lt;Допущения!$B$35,0,IF(AG2-Допущения!$B$35&lt;=Допущения!$B$37,Допущения!$B$36+(Допущения!$E$15-Допущения!$B$36)*(AG2-Допущения!$B$35)/Допущения!$B$37,Допущения!$E$15+Допущения!$E$16*(AG2-Допущения!$B$35-Допущения!$B$37)))</f>
        <v>58.5</v>
      </c>
      <c r="AH17" s="74" t="n">
        <f aca="false">IF(AH2&lt;Допущения!$B$35,0,IF(AH2-Допущения!$B$35&lt;=Допущения!$B$37,Допущения!$B$36+(Допущения!$E$15-Допущения!$B$36)*(AH2-Допущения!$B$35)/Допущения!$B$37,Допущения!$E$15+Допущения!$E$16*(AH2-Допущения!$B$35-Допущения!$B$37)))</f>
        <v>60</v>
      </c>
      <c r="AI17" s="74" t="n">
        <f aca="false">IF(AI2&lt;Допущения!$B$35,0,IF(AI2-Допущения!$B$35&lt;=Допущения!$B$37,Допущения!$B$36+(Допущения!$E$15-Допущения!$B$36)*(AI2-Допущения!$B$35)/Допущения!$B$37,Допущения!$E$15+Допущения!$E$16*(AI2-Допущения!$B$35-Допущения!$B$37)))</f>
        <v>61.5</v>
      </c>
      <c r="AJ17" s="74" t="n">
        <f aca="false">IF(AJ2&lt;Допущения!$B$35,0,IF(AJ2-Допущения!$B$35&lt;=Допущения!$B$37,Допущения!$B$36+(Допущения!$E$15-Допущения!$B$36)*(AJ2-Допущения!$B$35)/Допущения!$B$37,Допущения!$E$15+Допущения!$E$16*(AJ2-Допущения!$B$35-Допущения!$B$37)))</f>
        <v>63</v>
      </c>
      <c r="AK17" s="74" t="n">
        <f aca="false">IF(AK2&lt;Допущения!$B$35,0,IF(AK2-Допущения!$B$35&lt;=Допущения!$B$37,Допущения!$B$36+(Допущения!$E$15-Допущения!$B$36)*(AK2-Допущения!$B$35)/Допущения!$B$37,Допущения!$E$15+Допущения!$E$16*(AK2-Допущения!$B$35-Допущения!$B$37)))</f>
        <v>64.5</v>
      </c>
      <c r="AL17" s="74" t="n">
        <f aca="false">IF(AL2&lt;Допущения!$B$35,0,IF(AL2-Допущения!$B$35&lt;=Допущения!$B$37,Допущения!$B$36+(Допущения!$E$15-Допущения!$B$36)*(AL2-Допущения!$B$35)/Допущения!$B$37,Допущения!$E$15+Допущения!$E$16*(AL2-Допущения!$B$35-Допущения!$B$37)))</f>
        <v>66</v>
      </c>
      <c r="AM17" s="74" t="n">
        <f aca="false">IF(AM2&lt;Допущения!$B$35,0,IF(AM2-Допущения!$B$35&lt;=Допущения!$B$37,Допущения!$B$36+(Допущения!$E$15-Допущения!$B$36)*(AM2-Допущения!$B$35)/Допущения!$B$37,Допущения!$E$15+Допущения!$E$16*(AM2-Допущения!$B$35-Допущения!$B$37)))</f>
        <v>67.5</v>
      </c>
    </row>
    <row r="18" customFormat="false" ht="15" hidden="false" customHeight="true" outlineLevel="0" collapsed="false">
      <c r="A18" s="27" t="s">
        <v>33</v>
      </c>
      <c r="C18" s="72" t="n">
        <f aca="false">C17*Допущения!$B$38*30.4</f>
        <v>0</v>
      </c>
      <c r="D18" s="72" t="n">
        <f aca="false">D17*Допущения!$B$38*30.4</f>
        <v>0</v>
      </c>
      <c r="E18" s="72" t="n">
        <f aca="false">E17*Допущения!$B$38*30.4</f>
        <v>0</v>
      </c>
      <c r="F18" s="72" t="n">
        <f aca="false">F17*Допущения!$B$38*30.4</f>
        <v>0</v>
      </c>
      <c r="G18" s="72" t="n">
        <f aca="false">G17*Допущения!$B$38*30.4</f>
        <v>0</v>
      </c>
      <c r="H18" s="72" t="n">
        <f aca="false">H17*Допущения!$B$38*30.4</f>
        <v>608</v>
      </c>
      <c r="I18" s="72" t="n">
        <f aca="false">I17*Допущения!$B$38*30.4</f>
        <v>1114.66666666667</v>
      </c>
      <c r="J18" s="72" t="n">
        <f aca="false">J17*Допущения!$B$38*30.4</f>
        <v>1621.33333333333</v>
      </c>
      <c r="K18" s="72" t="n">
        <f aca="false">K17*Допущения!$B$38*30.4</f>
        <v>2128</v>
      </c>
      <c r="L18" s="72" t="n">
        <f aca="false">L17*Допущения!$B$38*30.4</f>
        <v>2634.66666666667</v>
      </c>
      <c r="M18" s="72" t="n">
        <f aca="false">M17*Допущения!$B$38*30.4</f>
        <v>3141.33333333333</v>
      </c>
      <c r="N18" s="72" t="n">
        <f aca="false">N17*Допущения!$B$38*30.4</f>
        <v>3648</v>
      </c>
      <c r="O18" s="72" t="n">
        <f aca="false">O17*Допущения!$B$38*30.4</f>
        <v>3830.4</v>
      </c>
      <c r="P18" s="72" t="n">
        <f aca="false">P17*Допущения!$B$38*30.4</f>
        <v>4012.8</v>
      </c>
      <c r="Q18" s="72" t="n">
        <f aca="false">Q17*Допущения!$B$38*30.4</f>
        <v>4195.2</v>
      </c>
      <c r="R18" s="72" t="n">
        <f aca="false">R17*Допущения!$B$38*30.4</f>
        <v>4377.6</v>
      </c>
      <c r="S18" s="72" t="n">
        <f aca="false">S17*Допущения!$B$38*30.4</f>
        <v>4560</v>
      </c>
      <c r="T18" s="72" t="n">
        <f aca="false">T17*Допущения!$B$38*30.4</f>
        <v>4742.4</v>
      </c>
      <c r="U18" s="72" t="n">
        <f aca="false">U17*Допущения!$B$38*30.4</f>
        <v>4924.8</v>
      </c>
      <c r="V18" s="72" t="n">
        <f aca="false">V17*Допущения!$B$38*30.4</f>
        <v>5107.2</v>
      </c>
      <c r="W18" s="72" t="n">
        <f aca="false">W17*Допущения!$B$38*30.4</f>
        <v>5289.6</v>
      </c>
      <c r="X18" s="72" t="n">
        <f aca="false">X17*Допущения!$B$38*30.4</f>
        <v>5472</v>
      </c>
      <c r="Y18" s="72" t="n">
        <f aca="false">Y17*Допущения!$B$38*30.4</f>
        <v>5654.4</v>
      </c>
      <c r="Z18" s="72" t="n">
        <f aca="false">Z17*Допущения!$B$38*30.4</f>
        <v>5836.8</v>
      </c>
      <c r="AA18" s="72" t="n">
        <f aca="false">AA17*Допущения!$B$38*30.4</f>
        <v>6019.2</v>
      </c>
      <c r="AB18" s="72" t="n">
        <f aca="false">AB17*Допущения!$B$38*30.4</f>
        <v>6201.6</v>
      </c>
      <c r="AC18" s="72" t="n">
        <f aca="false">AC17*Допущения!$B$38*30.4</f>
        <v>6384</v>
      </c>
      <c r="AD18" s="72" t="n">
        <f aca="false">AD17*Допущения!$B$38*30.4</f>
        <v>6566.4</v>
      </c>
      <c r="AE18" s="72" t="n">
        <f aca="false">AE17*Допущения!$B$38*30.4</f>
        <v>6748.8</v>
      </c>
      <c r="AF18" s="72" t="n">
        <f aca="false">AF17*Допущения!$B$38*30.4</f>
        <v>6931.2</v>
      </c>
      <c r="AG18" s="72" t="n">
        <f aca="false">AG17*Допущения!$B$38*30.4</f>
        <v>7113.6</v>
      </c>
      <c r="AH18" s="72" t="n">
        <f aca="false">AH17*Допущения!$B$38*30.4</f>
        <v>7296</v>
      </c>
      <c r="AI18" s="72" t="n">
        <f aca="false">AI17*Допущения!$B$38*30.4</f>
        <v>7478.4</v>
      </c>
      <c r="AJ18" s="72" t="n">
        <f aca="false">AJ17*Допущения!$B$38*30.4</f>
        <v>7660.8</v>
      </c>
      <c r="AK18" s="72" t="n">
        <f aca="false">AK17*Допущения!$B$38*30.4</f>
        <v>7843.2</v>
      </c>
      <c r="AL18" s="72" t="n">
        <f aca="false">AL17*Допущения!$B$38*30.4</f>
        <v>8025.6</v>
      </c>
      <c r="AM18" s="72" t="n">
        <f aca="false">AM17*Допущения!$B$38*30.4</f>
        <v>8208</v>
      </c>
    </row>
    <row r="19" customFormat="false" ht="15" hidden="false" customHeight="true" outlineLevel="0" collapsed="false">
      <c r="A19" s="27" t="s">
        <v>34</v>
      </c>
      <c r="C19" s="72" t="n">
        <f aca="false">C12+C13+C16+C18</f>
        <v>0</v>
      </c>
      <c r="D19" s="72" t="n">
        <f aca="false">D12+D13+D16+D18</f>
        <v>556.6</v>
      </c>
      <c r="E19" s="72" t="n">
        <f aca="false">E12+E13+E16+E18</f>
        <v>1601.49</v>
      </c>
      <c r="F19" s="72" t="n">
        <f aca="false">F12+F13+F16+F18</f>
        <v>2045.241</v>
      </c>
      <c r="G19" s="72" t="n">
        <f aca="false">G12+G13+G16+G18</f>
        <v>2936.3169</v>
      </c>
      <c r="H19" s="72" t="n">
        <f aca="false">H12+H13+H16+H18</f>
        <v>4194.48521</v>
      </c>
      <c r="I19" s="72" t="n">
        <f aca="false">I12+I13+I16+I18</f>
        <v>5372.10335566667</v>
      </c>
      <c r="J19" s="72" t="n">
        <f aca="false">J12+J13+J16+J18</f>
        <v>6568.42635343333</v>
      </c>
      <c r="K19" s="72" t="n">
        <f aca="false">K12+K13+K16+K18</f>
        <v>7781.58371809</v>
      </c>
      <c r="L19" s="72" t="n">
        <f aca="false">L12+L13+L16+L18</f>
        <v>9009.89201294767</v>
      </c>
      <c r="M19" s="72" t="n">
        <f aca="false">M12+M13+M16+M18</f>
        <v>10251.8361449862</v>
      </c>
      <c r="N19" s="72" t="n">
        <f aca="false">N12+N13+N16+N18</f>
        <v>11506.0525304876</v>
      </c>
      <c r="O19" s="72" t="n">
        <f aca="false">O12+O13+O16+O18</f>
        <v>12447.0472774388</v>
      </c>
      <c r="P19" s="72" t="n">
        <f aca="false">P12+P13+P16+P18</f>
        <v>14300.598549695</v>
      </c>
      <c r="Q19" s="72" t="n">
        <f aca="false">Q12+Q13+Q16+Q18</f>
        <v>15526.2886947255</v>
      </c>
      <c r="R19" s="72" t="n">
        <f aca="false">R12+R13+R16+R18</f>
        <v>16446.8778252529</v>
      </c>
      <c r="S19" s="72" t="n">
        <f aca="false">S12+S13+S16+S18</f>
        <v>16951.3060427276</v>
      </c>
      <c r="T19" s="72" t="n">
        <f aca="false">T12+T13+T16+T18</f>
        <v>18005.2554384549</v>
      </c>
      <c r="U19" s="72" t="n">
        <f aca="false">U12+U13+U16+U18</f>
        <v>19075.0098946094</v>
      </c>
      <c r="V19" s="72" t="n">
        <f aca="false">V12+V13+V16+V18</f>
        <v>20158.9889051484</v>
      </c>
      <c r="W19" s="72" t="n">
        <f aca="false">W12+W13+W16+W18</f>
        <v>21255.7700146336</v>
      </c>
      <c r="X19" s="72" t="n">
        <f aca="false">X12+X13+X16+X18</f>
        <v>22364.0730131702</v>
      </c>
      <c r="Y19" s="72" t="n">
        <f aca="false">Y12+Y13+Y16+Y18</f>
        <v>23482.7457118532</v>
      </c>
      <c r="Z19" s="72" t="n">
        <f aca="false">Z12+Z13+Z16+Z18</f>
        <v>24610.7511406679</v>
      </c>
      <c r="AA19" s="72" t="n">
        <f aca="false">AA12+AA13+AA16+AA18</f>
        <v>25747.1560266011</v>
      </c>
      <c r="AB19" s="72" t="n">
        <f aca="false">AB12+AB13+AB16+AB18</f>
        <v>28466.408423941</v>
      </c>
      <c r="AC19" s="72" t="n">
        <f aca="false">AC12+AC13+AC16+AC18</f>
        <v>29915.2455815469</v>
      </c>
      <c r="AD19" s="72" t="n">
        <f aca="false">AD12+AD13+AD16+AD18</f>
        <v>30789.5630233922</v>
      </c>
      <c r="AE19" s="72" t="n">
        <f aca="false">AE12+AE13+AE16+AE18</f>
        <v>30943.466721053</v>
      </c>
      <c r="AF19" s="72" t="n">
        <f aca="false">AF12+AF13+AF16+AF18</f>
        <v>32052.6000489477</v>
      </c>
      <c r="AG19" s="72" t="n">
        <f aca="false">AG12+AG13+AG16+AG18</f>
        <v>33172.0200440529</v>
      </c>
      <c r="AH19" s="72" t="n">
        <f aca="false">AH12+AH13+AH16+AH18</f>
        <v>34300.6980396476</v>
      </c>
      <c r="AI19" s="72" t="n">
        <f aca="false">AI12+AI13+AI16+AI18</f>
        <v>35437.7082356829</v>
      </c>
      <c r="AJ19" s="72" t="n">
        <f aca="false">AJ12+AJ13+AJ16+AJ18</f>
        <v>36513.5774121146</v>
      </c>
      <c r="AK19" s="72" t="n">
        <f aca="false">AK12+AK13+AK16+AK18</f>
        <v>37242.6996709031</v>
      </c>
      <c r="AL19" s="72" t="n">
        <f aca="false">AL12+AL13+AL16+AL18</f>
        <v>37917.1497038128</v>
      </c>
      <c r="AM19" s="72" t="n">
        <f aca="false">AM12+AM13+AM16+AM18</f>
        <v>38542.3947334315</v>
      </c>
    </row>
    <row r="20" customFormat="false" ht="15" hidden="false" customHeight="true" outlineLevel="0" collapsed="false">
      <c r="A20" s="29" t="s">
        <v>35</v>
      </c>
    </row>
    <row r="21" customFormat="false" ht="15" hidden="false" customHeight="true" outlineLevel="0" collapsed="false">
      <c r="A21" s="16" t="s">
        <v>477</v>
      </c>
      <c r="C21" s="73" t="n">
        <f aca="false">(C12+C13)*Допущения!$E$74+C16*Допущения!$E$81+C18*Допущения!$F$59</f>
        <v>0</v>
      </c>
      <c r="D21" s="73" t="n">
        <f aca="false">(D12+D13)*Допущения!$E$74+D16*Допущения!$E$81+D18*Допущения!$F$59</f>
        <v>389.62</v>
      </c>
      <c r="E21" s="73" t="n">
        <f aca="false">(E12+E13)*Допущения!$E$74+E16*Допущения!$E$81+E18*Допущения!$F$59</f>
        <v>1146.09</v>
      </c>
      <c r="F21" s="73" t="n">
        <f aca="false">(F12+F13)*Допущения!$E$74+F16*Допущения!$E$81+F18*Допущения!$F$59</f>
        <v>1522.521</v>
      </c>
      <c r="G21" s="73" t="n">
        <f aca="false">(G12+G13)*Допущения!$E$74+G16*Допущения!$E$81+G18*Допущения!$F$59</f>
        <v>2215.5969</v>
      </c>
      <c r="H21" s="73" t="n">
        <f aca="false">(H12+H13)*Допущения!$E$74+H16*Допущения!$E$81+H18*Допущения!$F$59</f>
        <v>2975.60521</v>
      </c>
      <c r="I21" s="73" t="n">
        <f aca="false">(I12+I13)*Допущения!$E$74+I16*Допущения!$E$81+I18*Допущения!$F$59</f>
        <v>3720.93002233333</v>
      </c>
      <c r="J21" s="73" t="n">
        <f aca="false">(J12+J13)*Допущения!$E$74+J16*Допущения!$E$81+J18*Допущения!$F$59</f>
        <v>4484.95968676667</v>
      </c>
      <c r="K21" s="73" t="n">
        <f aca="false">(K12+K13)*Допущения!$E$74+K16*Допущения!$E$81+K18*Допущения!$F$59</f>
        <v>5265.82371809</v>
      </c>
      <c r="L21" s="73" t="n">
        <f aca="false">(L12+L13)*Допущения!$E$74+L16*Допущения!$E$81+L18*Допущения!$F$59</f>
        <v>6061.83867961433</v>
      </c>
      <c r="M21" s="73" t="n">
        <f aca="false">(M12+M13)*Допущения!$E$74+M16*Допущения!$E$81+M18*Допущения!$F$59</f>
        <v>6871.48947831957</v>
      </c>
      <c r="N21" s="73" t="n">
        <f aca="false">(N12+N13)*Допущения!$E$74+N16*Допущения!$E$81+N18*Допущения!$F$59</f>
        <v>7693.41253048761</v>
      </c>
      <c r="O21" s="73" t="n">
        <f aca="false">(O12+O13)*Допущения!$E$74+O16*Допущения!$E$81+O18*Допущения!$F$59</f>
        <v>8412.88727743885</v>
      </c>
      <c r="P21" s="73" t="n">
        <f aca="false">(P12+P13)*Допущения!$E$74+P16*Допущения!$E$81+P18*Допущения!$F$59</f>
        <v>9774.13374969496</v>
      </c>
      <c r="Q21" s="73" t="n">
        <f aca="false">(Q12+Q13)*Допущения!$E$74+Q16*Допущения!$E$81+Q18*Допущения!$F$59</f>
        <v>10739.1790947255</v>
      </c>
      <c r="R21" s="73" t="n">
        <f aca="false">(R12+R13)*Допущения!$E$74+R16*Допущения!$E$81+R18*Допущения!$F$59</f>
        <v>11494.8762252529</v>
      </c>
      <c r="S21" s="73" t="n">
        <f aca="false">(S12+S13)*Допущения!$E$74+S16*Допущения!$E$81+S18*Допущения!$F$59</f>
        <v>11948.6980427276</v>
      </c>
      <c r="T21" s="73" t="n">
        <f aca="false">(T12+T13)*Допущения!$E$74+T16*Допущения!$E$81+T18*Допущения!$F$59</f>
        <v>12760.5354384549</v>
      </c>
      <c r="U21" s="73" t="n">
        <f aca="false">(U12+U13)*Допущения!$E$74+U16*Допущения!$E$81+U18*Допущения!$F$59</f>
        <v>13588.1778946094</v>
      </c>
      <c r="V21" s="73" t="n">
        <f aca="false">(V12+V13)*Допущения!$E$74+V16*Допущения!$E$81+V18*Допущения!$F$59</f>
        <v>14430.0449051484</v>
      </c>
      <c r="W21" s="73" t="n">
        <f aca="false">(W12+W13)*Допущения!$E$74+W16*Допущения!$E$81+W18*Допущения!$F$59</f>
        <v>15284.7140146336</v>
      </c>
      <c r="X21" s="73" t="n">
        <f aca="false">(X12+X13)*Допущения!$E$74+X16*Допущения!$E$81+X18*Допущения!$F$59</f>
        <v>16150.9050131702</v>
      </c>
      <c r="Y21" s="73" t="n">
        <f aca="false">(Y12+Y13)*Допущения!$E$74+Y16*Допущения!$E$81+Y18*Допущения!$F$59</f>
        <v>17027.4657118532</v>
      </c>
      <c r="Z21" s="73" t="n">
        <f aca="false">(Z12+Z13)*Допущения!$E$74+Z16*Допущения!$E$81+Z18*Допущения!$F$59</f>
        <v>17913.3591406679</v>
      </c>
      <c r="AA21" s="73" t="n">
        <f aca="false">(AA12+AA13)*Допущения!$E$74+AA16*Допущения!$E$81+AA18*Допущения!$F$59</f>
        <v>18807.6520266011</v>
      </c>
      <c r="AB21" s="73" t="n">
        <f aca="false">(AB12+AB13)*Допущения!$E$74+AB16*Допущения!$E$81+AB18*Допущения!$F$59</f>
        <v>20812.206023941</v>
      </c>
      <c r="AC21" s="73" t="n">
        <f aca="false">(AC12+AC13)*Допущения!$E$74+AC16*Допущения!$E$81+AC18*Допущения!$F$59</f>
        <v>22000.3983815469</v>
      </c>
      <c r="AD21" s="73" t="n">
        <f aca="false">(AD12+AD13)*Допущения!$E$74+AD16*Допущения!$E$81+AD18*Допущения!$F$59</f>
        <v>22783.9550233922</v>
      </c>
      <c r="AE21" s="73" t="n">
        <f aca="false">(AE12+AE13)*Допущения!$E$74+AE16*Допущения!$E$81+AE18*Допущения!$F$59</f>
        <v>23035.514721053</v>
      </c>
      <c r="AF21" s="73" t="n">
        <f aca="false">(AF12+AF13)*Допущения!$E$74+AF16*Допущения!$E$81+AF18*Допущения!$F$59</f>
        <v>23902.5360489477</v>
      </c>
      <c r="AG21" s="73" t="n">
        <f aca="false">(AG12+AG13)*Допущения!$E$74+AG16*Допущения!$E$81+AG18*Допущения!$F$59</f>
        <v>24779.8440440529</v>
      </c>
      <c r="AH21" s="73" t="n">
        <f aca="false">(AH12+AH13)*Допущения!$E$74+AH16*Допущения!$E$81+AH18*Допущения!$F$59</f>
        <v>25666.4100396476</v>
      </c>
      <c r="AI21" s="73" t="n">
        <f aca="false">(AI12+AI13)*Допущения!$E$74+AI16*Допущения!$E$81+AI18*Допущения!$F$59</f>
        <v>26561.3082356829</v>
      </c>
      <c r="AJ21" s="73" t="n">
        <f aca="false">(AJ12+AJ13)*Допущения!$E$74+AJ16*Допущения!$E$81+AJ18*Допущения!$F$59</f>
        <v>27415.6574121146</v>
      </c>
      <c r="AK21" s="73" t="n">
        <f aca="false">(AK12+AK13)*Допущения!$E$74+AK16*Допущения!$E$81+AK18*Допущения!$F$59</f>
        <v>28026.2196709031</v>
      </c>
      <c r="AL21" s="73" t="n">
        <f aca="false">(AL12+AL13)*Допущения!$E$74+AL16*Допущения!$E$81+AL18*Допущения!$F$59</f>
        <v>28582.1097038128</v>
      </c>
      <c r="AM21" s="73" t="n">
        <f aca="false">(AM12+AM13)*Допущения!$E$74+AM16*Допущения!$E$81+AM18*Допущения!$F$59</f>
        <v>29088.7947334315</v>
      </c>
    </row>
    <row r="22" customFormat="false" ht="15" hidden="false" customHeight="true" outlineLevel="0" collapsed="false">
      <c r="A22" s="16" t="s">
        <v>478</v>
      </c>
      <c r="C22" s="73" t="n">
        <f aca="false">(C12+C13)*Допущения!$F$74+C16*Допущения!$F$81+C18*Допущения!$F$60</f>
        <v>0</v>
      </c>
      <c r="D22" s="73" t="n">
        <f aca="false">(D12+D13)*Допущения!$F$74+D16*Допущения!$F$81+D18*Допущения!$F$60</f>
        <v>150.282</v>
      </c>
      <c r="E22" s="73" t="n">
        <f aca="false">(E12+E13)*Допущения!$F$74+E16*Допущения!$F$81+E18*Допущения!$F$60</f>
        <v>443.256</v>
      </c>
      <c r="F22" s="73" t="n">
        <f aca="false">(F12+F13)*Допущения!$F$74+F16*Допущения!$F$81+F18*Допущения!$F$60</f>
        <v>591.5844</v>
      </c>
      <c r="G22" s="73" t="n">
        <f aca="false">(G12+G13)*Допущения!$F$74+G16*Допущения!$F$81+G18*Допущения!$F$60</f>
        <v>862.21476</v>
      </c>
      <c r="H22" s="73" t="n">
        <f aca="false">(H12+H13)*Допущения!$F$74+H16*Допущения!$F$81+H18*Допущения!$F$60</f>
        <v>1168.866084</v>
      </c>
      <c r="I22" s="73" t="n">
        <f aca="false">(I12+I13)*Допущения!$F$74+I16*Допущения!$F$81+I18*Допущения!$F$60</f>
        <v>1468.6306756</v>
      </c>
      <c r="J22" s="73" t="n">
        <f aca="false">(J12+J13)*Допущения!$F$74+J16*Допущения!$F$81+J18*Допущения!$F$60</f>
        <v>1775.87720804</v>
      </c>
      <c r="K22" s="73" t="n">
        <f aca="false">(K12+K13)*Допущения!$F$74+K16*Допущения!$F$81+K18*Допущения!$F$60</f>
        <v>2089.857487236</v>
      </c>
      <c r="L22" s="73" t="n">
        <f aca="false">(L12+L13)*Допущения!$F$74+L16*Допущения!$F$81+L18*Допущения!$F$60</f>
        <v>2409.8981385124</v>
      </c>
      <c r="M22" s="73" t="n">
        <f aca="false">(M12+M13)*Допущения!$F$74+M16*Допущения!$F$81+M18*Допущения!$F$60</f>
        <v>2735.39312466116</v>
      </c>
      <c r="N22" s="73" t="n">
        <f aca="false">(N12+N13)*Допущения!$F$74+N16*Допущения!$F$81+N18*Допущения!$F$60</f>
        <v>3065.79701219504</v>
      </c>
      <c r="O22" s="73" t="n">
        <f aca="false">(O12+O13)*Допущения!$F$74+O16*Допущения!$F$81+O18*Допущения!$F$60</f>
        <v>3351.97891097554</v>
      </c>
      <c r="P22" s="73" t="n">
        <f aca="false">(P12+P13)*Допущения!$F$74+P16*Допущения!$F$81+P18*Допущения!$F$60</f>
        <v>3885.84333987799</v>
      </c>
      <c r="Q22" s="73" t="n">
        <f aca="false">(Q12+Q13)*Допущения!$F$74+Q16*Допущения!$F$81+Q18*Допущения!$F$60</f>
        <v>4268.94931789019</v>
      </c>
      <c r="R22" s="73" t="n">
        <f aca="false">(R12+R13)*Допущения!$F$74+R16*Допущения!$F$81+R18*Допущения!$F$60</f>
        <v>4571.50777010117</v>
      </c>
      <c r="S22" s="73" t="n">
        <f aca="false">(S12+S13)*Допущения!$F$74+S16*Допущения!$F$81+S18*Допущения!$F$60</f>
        <v>4757.12561709105</v>
      </c>
      <c r="T22" s="73" t="n">
        <f aca="false">(T12+T13)*Допущения!$F$74+T16*Допущения!$F$81+T18*Допущения!$F$60</f>
        <v>5079.56617538195</v>
      </c>
      <c r="U22" s="73" t="n">
        <f aca="false">(U12+U13)*Допущения!$F$74+U16*Допущения!$F$81+U18*Допущения!$F$60</f>
        <v>5408.32875784375</v>
      </c>
      <c r="V22" s="73" t="n">
        <f aca="false">(V12+V13)*Допущения!$F$74+V16*Допущения!$F$81+V18*Допущения!$F$60</f>
        <v>5742.78116205938</v>
      </c>
      <c r="W22" s="73" t="n">
        <f aca="false">(W12+W13)*Допущения!$F$74+W16*Допущения!$F$81+W18*Допущения!$F$60</f>
        <v>6082.35440585344</v>
      </c>
      <c r="X22" s="73" t="n">
        <f aca="false">(X12+X13)*Допущения!$F$74+X16*Допущения!$F$81+X18*Допущения!$F$60</f>
        <v>6426.5364052681</v>
      </c>
      <c r="Y22" s="73" t="n">
        <f aca="false">(Y12+Y13)*Допущения!$F$74+Y16*Допущения!$F$81+Y18*Допущения!$F$60</f>
        <v>6774.86628474129</v>
      </c>
      <c r="Z22" s="73" t="n">
        <f aca="false">(Z12+Z13)*Допущения!$F$74+Z16*Допущения!$F$81+Z18*Допущения!$F$60</f>
        <v>7126.92925626716</v>
      </c>
      <c r="AA22" s="73" t="n">
        <f aca="false">(AA12+AA13)*Допущения!$F$74+AA16*Допущения!$F$81+AA18*Допущения!$F$60</f>
        <v>7482.35201064044</v>
      </c>
      <c r="AB22" s="73" t="n">
        <f aca="false">(AB12+AB13)*Допущения!$F$74+AB16*Допущения!$F$81+AB18*Допущения!$F$60</f>
        <v>8266.1263295764</v>
      </c>
      <c r="AC22" s="73" t="n">
        <f aca="false">(AC12+AC13)*Допущения!$F$74+AC16*Допущения!$F$81+AC18*Допущения!$F$60</f>
        <v>8738.49111261876</v>
      </c>
      <c r="AD22" s="73" t="n">
        <f aca="false">(AD12+AD13)*Допущения!$F$74+AD16*Допущения!$F$81+AD18*Допущения!$F$60</f>
        <v>9054.66440935688</v>
      </c>
      <c r="AE22" s="73" t="n">
        <f aca="false">(AE12+AE13)*Допущения!$F$74+AE16*Допущения!$F$81+AE18*Допущения!$F$60</f>
        <v>9164.3194884212</v>
      </c>
      <c r="AF22" s="73" t="n">
        <f aca="false">(AF12+AF13)*Допущения!$F$74+AF16*Допущения!$F$81+AF18*Допущения!$F$60</f>
        <v>9508.83361957908</v>
      </c>
      <c r="AG22" s="73" t="n">
        <f aca="false">(AG12+AG13)*Допущения!$F$74+AG16*Допущения!$F$81+AG18*Допущения!$F$60</f>
        <v>9857.46241762117</v>
      </c>
      <c r="AH22" s="73" t="n">
        <f aca="false">(AH12+AH13)*Допущения!$F$74+AH16*Допущения!$F$81+AH18*Допущения!$F$60</f>
        <v>10209.7944158591</v>
      </c>
      <c r="AI22" s="73" t="n">
        <f aca="false">(AI12+AI13)*Допущения!$F$74+AI16*Допущения!$F$81+AI18*Допущения!$F$60</f>
        <v>10565.4592942731</v>
      </c>
      <c r="AJ22" s="73" t="n">
        <f aca="false">(AJ12+AJ13)*Допущения!$F$74+AJ16*Допущения!$F$81+AJ18*Допущения!$F$60</f>
        <v>10905.5909648458</v>
      </c>
      <c r="AK22" s="73" t="n">
        <f aca="false">(AK12+AK13)*Допущения!$F$74+AK16*Допущения!$F$81+AK18*Допущения!$F$60</f>
        <v>11151.6398683612</v>
      </c>
      <c r="AL22" s="73" t="n">
        <f aca="false">(AL12+AL13)*Допущения!$F$74+AL16*Допущения!$F$81+AL18*Допущения!$F$60</f>
        <v>11375.8198815251</v>
      </c>
      <c r="AM22" s="73" t="n">
        <f aca="false">(AM12+AM13)*Допущения!$F$74+AM16*Допущения!$F$81+AM18*Допущения!$F$60</f>
        <v>11580.3178933726</v>
      </c>
    </row>
    <row r="23" customFormat="false" ht="15" hidden="false" customHeight="true" outlineLevel="0" collapsed="false">
      <c r="A23" s="16" t="s">
        <v>479</v>
      </c>
      <c r="C23" s="73" t="n">
        <f aca="false">(C12+C13)*Допущения!$G$74+C16*Допущения!$G$81+C18*Допущения!$F$61</f>
        <v>0</v>
      </c>
      <c r="D23" s="73" t="n">
        <f aca="false">(D12+D13)*Допущения!$G$74+D16*Допущения!$G$81+D18*Допущения!$F$61</f>
        <v>278.3</v>
      </c>
      <c r="E23" s="73" t="n">
        <f aca="false">(E12+E13)*Допущения!$G$74+E16*Допущения!$G$81+E18*Допущения!$F$61</f>
        <v>821.6175</v>
      </c>
      <c r="F23" s="73" t="n">
        <f aca="false">(F12+F13)*Допущения!$G$74+F16*Допущения!$G$81+F18*Допущения!$F$61</f>
        <v>1098.33075</v>
      </c>
      <c r="G23" s="73" t="n">
        <f aca="false">(G12+G13)*Допущения!$G$74+G16*Допущения!$G$81+G18*Допущения!$F$61</f>
        <v>1601.637675</v>
      </c>
      <c r="H23" s="73" t="n">
        <f aca="false">(H12+H13)*Допущения!$G$74+H16*Допущения!$G$81+H18*Допущения!$F$61</f>
        <v>2155.4639075</v>
      </c>
      <c r="I23" s="73" t="n">
        <f aca="false">(I12+I13)*Допущения!$G$74+I16*Допущения!$G$81+I18*Допущения!$F$61</f>
        <v>2699.54418341667</v>
      </c>
      <c r="J23" s="73" t="n">
        <f aca="false">(J12+J13)*Допущения!$G$74+J16*Допущения!$G$81+J18*Допущения!$F$61</f>
        <v>3257.65309840833</v>
      </c>
      <c r="K23" s="73" t="n">
        <f aca="false">(K12+K13)*Допущения!$G$74+K16*Допущения!$G$81+K18*Допущения!$F$61</f>
        <v>3828.3877885675</v>
      </c>
      <c r="L23" s="73" t="n">
        <f aca="false">(L12+L13)*Допущения!$G$74+L16*Допущения!$G$81+L18*Допущения!$F$61</f>
        <v>4410.48567637742</v>
      </c>
      <c r="M23" s="73" t="n">
        <f aca="false">(M12+M13)*Допущения!$G$74+M16*Допущения!$G$81+M18*Допущения!$F$61</f>
        <v>5002.81044207301</v>
      </c>
      <c r="N23" s="73" t="n">
        <f aca="false">(N12+N13)*Допущения!$G$74+N16*Допущения!$G$81+N18*Допущения!$F$61</f>
        <v>5604.33939786571</v>
      </c>
      <c r="O23" s="73" t="n">
        <f aca="false">(O12+O13)*Допущения!$G$74+O16*Допущения!$G$81+O18*Допущения!$F$61</f>
        <v>6133.08545807914</v>
      </c>
      <c r="P23" s="73" t="n">
        <f aca="false">(P12+P13)*Допущения!$G$74+P16*Допущения!$G$81+P18*Допущения!$F$61</f>
        <v>7120.59491227122</v>
      </c>
      <c r="Q23" s="73" t="n">
        <f aca="false">(Q12+Q13)*Допущения!$G$74+Q16*Допущения!$G$81+Q18*Допущения!$F$61</f>
        <v>7830.2585210441</v>
      </c>
      <c r="R23" s="73" t="n">
        <f aca="false">(R12+R13)*Допущения!$G$74+R16*Допущения!$G$81+R18*Допущения!$F$61</f>
        <v>8390.89036893969</v>
      </c>
      <c r="S23" s="73" t="n">
        <f aca="false">(S12+S13)*Допущения!$G$74+S16*Допущения!$G$81+S18*Допущения!$F$61</f>
        <v>8734.63953204572</v>
      </c>
      <c r="T23" s="73" t="n">
        <f aca="false">(T12+T13)*Допущения!$G$74+T16*Допущения!$G$81+T18*Допущения!$F$61</f>
        <v>9330.94157884115</v>
      </c>
      <c r="U23" s="73" t="n">
        <f aca="false">(U12+U13)*Допущения!$G$74+U16*Допущения!$G$81+U18*Допущения!$F$61</f>
        <v>9939.09742095704</v>
      </c>
      <c r="V23" s="73" t="n">
        <f aca="false">(V12+V13)*Допущения!$G$74+V16*Допущения!$G$81+V18*Допущения!$F$61</f>
        <v>10557.9216788613</v>
      </c>
      <c r="W23" s="73" t="n">
        <f aca="false">(W12+W13)*Допущения!$G$74+W16*Допущения!$G$81+W18*Допущения!$F$61</f>
        <v>11186.3475109752</v>
      </c>
      <c r="X23" s="73" t="n">
        <f aca="false">(X12+X13)*Допущения!$G$74+X16*Допущения!$G$81+X18*Допущения!$F$61</f>
        <v>11823.4147598777</v>
      </c>
      <c r="Y23" s="73" t="n">
        <f aca="false">(Y12+Y13)*Допущения!$G$74+Y16*Допущения!$G$81+Y18*Допущения!$F$61</f>
        <v>12468.2592838899</v>
      </c>
      <c r="Z23" s="73" t="n">
        <f aca="false">(Z12+Z13)*Допущения!$G$74+Z16*Допущения!$G$81+Z18*Допущения!$F$61</f>
        <v>13120.1033555009</v>
      </c>
      <c r="AA23" s="73" t="n">
        <f aca="false">(AA12+AA13)*Допущения!$G$74+AA16*Допущения!$G$81+AA18*Допущения!$F$61</f>
        <v>13778.2470199508</v>
      </c>
      <c r="AB23" s="73" t="n">
        <f aca="false">(AB12+AB13)*Допущения!$G$74+AB16*Допущения!$G$81+AB18*Допущения!$F$61</f>
        <v>15229.7043179557</v>
      </c>
      <c r="AC23" s="73" t="n">
        <f aca="false">(AC12+AC13)*Допущения!$G$74+AC16*Допущения!$G$81+AC18*Допущения!$F$61</f>
        <v>16106.7281861602</v>
      </c>
      <c r="AD23" s="73" t="n">
        <f aca="false">(AD12+AD13)*Допущения!$G$74+AD16*Допущения!$G$81+AD18*Допущения!$F$61</f>
        <v>16694.4322675442</v>
      </c>
      <c r="AE23" s="73" t="n">
        <f aca="false">(AE12+AE13)*Допущения!$G$74+AE16*Допущения!$G$81+AE18*Допущения!$F$61</f>
        <v>16898.8400407897</v>
      </c>
      <c r="AF23" s="73" t="n">
        <f aca="false">(AF12+AF13)*Допущения!$G$74+AF16*Допущения!$G$81+AF18*Допущения!$F$61</f>
        <v>17536.5300367108</v>
      </c>
      <c r="AG23" s="73" t="n">
        <f aca="false">(AG12+AG13)*Допущения!$G$74+AG16*Допущения!$G$81+AG18*Допущения!$F$61</f>
        <v>18181.9350330397</v>
      </c>
      <c r="AH23" s="73" t="n">
        <f aca="false">(AH12+AH13)*Допущения!$G$74+AH16*Допущения!$G$81+AH18*Допущения!$F$61</f>
        <v>18834.2835297357</v>
      </c>
      <c r="AI23" s="73" t="n">
        <f aca="false">(AI12+AI13)*Допущения!$G$74+AI16*Допущения!$G$81+AI18*Допущения!$F$61</f>
        <v>19492.8811767621</v>
      </c>
      <c r="AJ23" s="73" t="n">
        <f aca="false">(AJ12+AJ13)*Допущения!$G$74+AJ16*Допущения!$G$81+AJ18*Допущения!$F$61</f>
        <v>20122.7830590859</v>
      </c>
      <c r="AK23" s="73" t="n">
        <f aca="false">(AK12+AK13)*Допущения!$G$74+AK16*Допущения!$G$81+AK18*Допущения!$F$61</f>
        <v>20578.4247531773</v>
      </c>
      <c r="AL23" s="73" t="n">
        <f aca="false">(AL12+AL13)*Допущения!$G$74+AL16*Допущения!$G$81+AL18*Допущения!$F$61</f>
        <v>20993.0622778596</v>
      </c>
      <c r="AM23" s="73" t="n">
        <f aca="false">(AM12+AM13)*Допущения!$G$74+AM16*Допущения!$G$81+AM18*Допущения!$F$61</f>
        <v>21370.7960500736</v>
      </c>
    </row>
    <row r="24" customFormat="false" ht="15" hidden="false" customHeight="true" outlineLevel="0" collapsed="false">
      <c r="A24" s="16" t="s">
        <v>480</v>
      </c>
      <c r="C24" s="73" t="n">
        <f aca="false">(C12+C13)*Допущения!$H$74+C16*Допущения!$H$81+C18*Допущения!$F$62</f>
        <v>0</v>
      </c>
      <c r="D24" s="73" t="n">
        <f aca="false">(D12+D13)*Допущения!$H$74+D16*Допущения!$H$81+D18*Допущения!$F$62</f>
        <v>72.3580000000001</v>
      </c>
      <c r="E24" s="73" t="n">
        <f aca="false">(E12+E13)*Допущения!$H$74+E16*Допущения!$H$81+E18*Допущения!$F$62</f>
        <v>203.60175</v>
      </c>
      <c r="F24" s="73" t="n">
        <f aca="false">(F12+F13)*Допущения!$H$74+F16*Допущения!$H$81+F18*Допущения!$F$62</f>
        <v>249.225075</v>
      </c>
      <c r="G24" s="73" t="n">
        <f aca="false">(G12+G13)*Допущения!$H$74+G16*Допущения!$H$81+G18*Допущения!$F$62</f>
        <v>352.3557675</v>
      </c>
      <c r="H24" s="73" t="n">
        <f aca="false">(H12+H13)*Допущения!$H$74+H16*Допущения!$H$81+H18*Допущения!$F$62</f>
        <v>571.99439075</v>
      </c>
      <c r="I24" s="73" t="n">
        <f aca="false">(I12+I13)*Допущения!$H$74+I16*Допущения!$H$81+I18*Допущения!$F$62</f>
        <v>767.858418341667</v>
      </c>
      <c r="J24" s="73" t="n">
        <f aca="false">(J12+J13)*Допущения!$H$74+J16*Допущения!$H$81+J18*Допущения!$F$62</f>
        <v>965.125309840833</v>
      </c>
      <c r="K24" s="73" t="n">
        <f aca="false">(K12+K13)*Допущения!$H$74+K16*Допущения!$H$81+K18*Допущения!$F$62</f>
        <v>1163.65477885675</v>
      </c>
      <c r="L24" s="73" t="n">
        <f aca="false">(L12+L13)*Допущения!$H$74+L16*Допущения!$H$81+L18*Допущения!$F$62</f>
        <v>1363.32056763774</v>
      </c>
      <c r="M24" s="73" t="n">
        <f aca="false">(M12+M13)*Допущения!$H$74+M16*Допущения!$H$81+M18*Допущения!$F$62</f>
        <v>1564.0090442073</v>
      </c>
      <c r="N24" s="73" t="n">
        <f aca="false">(N12+N13)*Допущения!$H$74+N16*Допущения!$H$81+N18*Допущения!$F$62</f>
        <v>1765.61793978657</v>
      </c>
      <c r="O24" s="73" t="n">
        <f aca="false">(O12+O13)*Допущения!$H$74+O16*Допущения!$H$81+O18*Допущения!$F$62</f>
        <v>1886.98854580791</v>
      </c>
      <c r="P24" s="73" t="n">
        <f aca="false">(P12+P13)*Допущения!$H$74+P16*Допущения!$H$81+P18*Допущения!$F$62</f>
        <v>2126.44477122712</v>
      </c>
      <c r="Q24" s="73" t="n">
        <f aca="false">(Q12+Q13)*Допущения!$H$74+Q16*Допущения!$H$81+Q18*Допущения!$F$62</f>
        <v>2276.34041210441</v>
      </c>
      <c r="R24" s="73" t="n">
        <f aca="false">(R12+R13)*Допущения!$H$74+R16*Допущения!$H$81+R18*Допущения!$F$62</f>
        <v>2385.79879689397</v>
      </c>
      <c r="S24" s="73" t="n">
        <f aca="false">(S12+S13)*Допущения!$H$74+S16*Допущения!$H$81+S18*Допущения!$F$62</f>
        <v>2443.09275320457</v>
      </c>
      <c r="T24" s="73" t="n">
        <f aca="false">(T12+T13)*Допущения!$H$74+T16*Допущения!$H$81+T18*Допущения!$F$62</f>
        <v>2576.71015788412</v>
      </c>
      <c r="U24" s="73" t="n">
        <f aca="false">(U12+U13)*Допущения!$H$74+U16*Допущения!$H$81+U18*Допущения!$F$62</f>
        <v>2711.5129420957</v>
      </c>
      <c r="V24" s="73" t="n">
        <f aca="false">(V12+V13)*Допущения!$H$74+V16*Допущения!$H$81+V18*Допущения!$F$62</f>
        <v>2847.38256788613</v>
      </c>
      <c r="W24" s="73" t="n">
        <f aca="false">(W12+W13)*Допущения!$H$74+W16*Допущения!$H$81+W18*Допущения!$F$62</f>
        <v>2984.21235109752</v>
      </c>
      <c r="X24" s="73" t="n">
        <f aca="false">(X12+X13)*Допущения!$H$74+X16*Допущения!$H$81+X18*Допущения!$F$62</f>
        <v>3121.90627598777</v>
      </c>
      <c r="Y24" s="73" t="n">
        <f aca="false">(Y12+Y13)*Допущения!$H$74+Y16*Допущения!$H$81+Y18*Допущения!$F$62</f>
        <v>3260.37792838899</v>
      </c>
      <c r="Z24" s="73" t="n">
        <f aca="false">(Z12+Z13)*Допущения!$H$74+Z16*Допущения!$H$81+Z18*Допущения!$F$62</f>
        <v>3399.54953555009</v>
      </c>
      <c r="AA24" s="73" t="n">
        <f aca="false">(AA12+AA13)*Допущения!$H$74+AA16*Допущения!$H$81+AA18*Допущения!$F$62</f>
        <v>3539.35110199508</v>
      </c>
      <c r="AB24" s="73" t="n">
        <f aca="false">(AB12+AB13)*Допущения!$H$74+AB16*Допущения!$H$81+AB18*Допущения!$F$62</f>
        <v>3884.50707179557</v>
      </c>
      <c r="AC24" s="73" t="n">
        <f aca="false">(AC12+AC13)*Допущения!$H$74+AC16*Допущения!$H$81+AC18*Допущения!$F$62</f>
        <v>4051.13873861602</v>
      </c>
      <c r="AD24" s="73" t="n">
        <f aca="false">(AD12+AD13)*Допущения!$H$74+AD16*Допущения!$H$81+AD18*Допущения!$F$62</f>
        <v>4143.53602675442</v>
      </c>
      <c r="AE24" s="73" t="n">
        <f aca="false">(AE12+AE13)*Допущения!$H$74+AE16*Допущения!$H$81+AE18*Допущения!$F$62</f>
        <v>4147.35920407897</v>
      </c>
      <c r="AF24" s="73" t="n">
        <f aca="false">(AF12+AF13)*Допущения!$H$74+AF16*Допущения!$H$81+AF18*Допущения!$F$62</f>
        <v>4285.11540367108</v>
      </c>
      <c r="AG24" s="73" t="n">
        <f aca="false">(AG12+AG13)*Допущения!$H$74+AG16*Допущения!$H$81+AG18*Допущения!$F$62</f>
        <v>4423.64310330397</v>
      </c>
      <c r="AH24" s="73" t="n">
        <f aca="false">(AH12+AH13)*Допущения!$H$74+AH16*Допущения!$H$81+AH18*Допущения!$F$62</f>
        <v>4562.86515297357</v>
      </c>
      <c r="AI24" s="73" t="n">
        <f aca="false">(AI12+AI13)*Допущения!$H$74+AI16*Допущения!$H$81+AI18*Допущения!$F$62</f>
        <v>4702.71211767621</v>
      </c>
      <c r="AJ24" s="73" t="n">
        <f aca="false">(AJ12+AJ13)*Допущения!$H$74+AJ16*Допущения!$H$81+AJ18*Допущения!$F$62</f>
        <v>4834.19830590859</v>
      </c>
      <c r="AK24" s="73" t="n">
        <f aca="false">(AK12+AK13)*Допущения!$H$74+AK16*Допущения!$H$81+AK18*Допущения!$F$62</f>
        <v>4920.80247531773</v>
      </c>
      <c r="AL24" s="73" t="n">
        <f aca="false">(AL12+AL13)*Допущения!$H$74+AL16*Допущения!$H$81+AL18*Допущения!$F$62</f>
        <v>5003.30622778596</v>
      </c>
      <c r="AM24" s="73" t="n">
        <f aca="false">(AM12+AM13)*Допущения!$H$74+AM16*Допущения!$H$81+AM18*Допущения!$F$62</f>
        <v>5082.11960500736</v>
      </c>
    </row>
    <row r="25" customFormat="false" ht="15" hidden="false" customHeight="true" outlineLevel="0" collapsed="false">
      <c r="A25" s="27" t="s">
        <v>481</v>
      </c>
      <c r="C25" s="72" t="n">
        <f aca="false">SUM(C21:C24)</f>
        <v>0</v>
      </c>
      <c r="D25" s="72" t="n">
        <f aca="false">SUM(D21:D24)</f>
        <v>890.560000000001</v>
      </c>
      <c r="E25" s="72" t="n">
        <f aca="false">SUM(E21:E24)</f>
        <v>2614.56525</v>
      </c>
      <c r="F25" s="72" t="n">
        <f aca="false">SUM(F21:F24)</f>
        <v>3461.661225</v>
      </c>
      <c r="G25" s="72" t="n">
        <f aca="false">SUM(G21:G24)</f>
        <v>5031.8051025</v>
      </c>
      <c r="H25" s="72" t="n">
        <f aca="false">SUM(H21:H24)</f>
        <v>6871.92959225</v>
      </c>
      <c r="I25" s="72" t="n">
        <f aca="false">SUM(I21:I24)</f>
        <v>8656.96329969167</v>
      </c>
      <c r="J25" s="72" t="n">
        <f aca="false">SUM(J21:J24)</f>
        <v>10483.6153030558</v>
      </c>
      <c r="K25" s="72" t="n">
        <f aca="false">SUM(K21:K24)</f>
        <v>12347.7237727503</v>
      </c>
      <c r="L25" s="72" t="n">
        <f aca="false">SUM(L21:L24)</f>
        <v>14245.5430621419</v>
      </c>
      <c r="M25" s="72" t="n">
        <f aca="false">SUM(M21:M24)</f>
        <v>16173.702089261</v>
      </c>
      <c r="N25" s="72" t="n">
        <f aca="false">SUM(N21:N24)</f>
        <v>18129.1668803349</v>
      </c>
      <c r="O25" s="72" t="n">
        <f aca="false">SUM(O21:O24)</f>
        <v>19784.9401923014</v>
      </c>
      <c r="P25" s="72" t="n">
        <f aca="false">SUM(P21:P24)</f>
        <v>22907.0167730713</v>
      </c>
      <c r="Q25" s="72" t="n">
        <f aca="false">SUM(Q21:Q24)</f>
        <v>25114.7273457642</v>
      </c>
      <c r="R25" s="72" t="n">
        <f aca="false">SUM(R21:R24)</f>
        <v>26843.0731611878</v>
      </c>
      <c r="S25" s="72" t="n">
        <f aca="false">SUM(S21:S24)</f>
        <v>27883.555945069</v>
      </c>
      <c r="T25" s="72" t="n">
        <f aca="false">SUM(T21:T24)</f>
        <v>29747.7533505621</v>
      </c>
      <c r="U25" s="72" t="n">
        <f aca="false">SUM(U21:U24)</f>
        <v>31647.1170155059</v>
      </c>
      <c r="V25" s="72" t="n">
        <f aca="false">SUM(V21:V24)</f>
        <v>33578.1303139553</v>
      </c>
      <c r="W25" s="72" t="n">
        <f aca="false">SUM(W21:W24)</f>
        <v>35537.6282825598</v>
      </c>
      <c r="X25" s="72" t="n">
        <f aca="false">SUM(X21:X24)</f>
        <v>37522.7624543038</v>
      </c>
      <c r="Y25" s="72" t="n">
        <f aca="false">SUM(Y21:Y24)</f>
        <v>39530.9692088734</v>
      </c>
      <c r="Z25" s="72" t="n">
        <f aca="false">SUM(Z21:Z24)</f>
        <v>41559.9412879861</v>
      </c>
      <c r="AA25" s="72" t="n">
        <f aca="false">SUM(AA21:AA24)</f>
        <v>43607.6021591875</v>
      </c>
      <c r="AB25" s="72" t="n">
        <f aca="false">SUM(AB21:AB24)</f>
        <v>48192.5437432687</v>
      </c>
      <c r="AC25" s="72" t="n">
        <f aca="false">SUM(AC21:AC24)</f>
        <v>50896.7564189419</v>
      </c>
      <c r="AD25" s="72" t="n">
        <f aca="false">SUM(AD21:AD24)</f>
        <v>52676.5877270477</v>
      </c>
      <c r="AE25" s="72" t="n">
        <f aca="false">SUM(AE21:AE24)</f>
        <v>53246.0334543429</v>
      </c>
      <c r="AF25" s="72" t="n">
        <f aca="false">SUM(AF21:AF24)</f>
        <v>55233.0151089086</v>
      </c>
      <c r="AG25" s="72" t="n">
        <f aca="false">SUM(AG21:AG24)</f>
        <v>57242.8845980178</v>
      </c>
      <c r="AH25" s="72" t="n">
        <f aca="false">SUM(AH21:AH24)</f>
        <v>59273.353138216</v>
      </c>
      <c r="AI25" s="72" t="n">
        <f aca="false">SUM(AI21:AI24)</f>
        <v>61322.3608243944</v>
      </c>
      <c r="AJ25" s="72" t="n">
        <f aca="false">SUM(AJ21:AJ24)</f>
        <v>63278.2297419549</v>
      </c>
      <c r="AK25" s="72" t="n">
        <f aca="false">SUM(AK21:AK24)</f>
        <v>64677.0867677594</v>
      </c>
      <c r="AL25" s="72" t="n">
        <f aca="false">SUM(AL21:AL24)</f>
        <v>65954.2980909835</v>
      </c>
      <c r="AM25" s="72" t="n">
        <f aca="false">SUM(AM21:AM24)</f>
        <v>67122.0282818851</v>
      </c>
    </row>
    <row r="26" customFormat="false" ht="15" hidden="false" customHeight="true" outlineLevel="0" collapsed="false">
      <c r="A26" s="29" t="s">
        <v>482</v>
      </c>
    </row>
    <row r="27" customFormat="false" ht="15" hidden="false" customHeight="true" outlineLevel="0" collapsed="false">
      <c r="A27" s="16" t="s">
        <v>483</v>
      </c>
      <c r="C27" s="75" t="n">
        <f aca="false">IFERROR(INDEX(Допущения!$H$59:$O$59,MATCH(C21,Допущения!$H$58:$O$58,1)),Допущения!$H$59)*Допущения!$E$19</f>
        <v>8.52</v>
      </c>
      <c r="D27" s="75" t="n">
        <f aca="false">IFERROR(INDEX(Допущения!$H$59:$O$59,MATCH(D21,Допущения!$H$58:$O$58,1)),Допущения!$H$59)*Допущения!$E$19</f>
        <v>8.37</v>
      </c>
      <c r="E27" s="75" t="n">
        <f aca="false">IFERROR(INDEX(Допущения!$H$59:$O$59,MATCH(E21,Допущения!$H$58:$O$58,1)),Допущения!$H$59)*Допущения!$E$19</f>
        <v>7.97</v>
      </c>
      <c r="F27" s="75" t="n">
        <f aca="false">IFERROR(INDEX(Допущения!$H$59:$O$59,MATCH(F21,Допущения!$H$58:$O$58,1)),Допущения!$H$59)*Допущения!$E$19</f>
        <v>7.97</v>
      </c>
      <c r="G27" s="75" t="n">
        <f aca="false">IFERROR(INDEX(Допущения!$H$59:$O$59,MATCH(G21,Допущения!$H$58:$O$58,1)),Допущения!$H$59)*Допущения!$E$19</f>
        <v>7.97</v>
      </c>
      <c r="H27" s="75" t="n">
        <f aca="false">IFERROR(INDEX(Допущения!$H$59:$O$59,MATCH(H21,Допущения!$H$58:$O$58,1)),Допущения!$H$59)*Допущения!$E$19</f>
        <v>7.82</v>
      </c>
      <c r="I27" s="75" t="n">
        <f aca="false">IFERROR(INDEX(Допущения!$H$59:$O$59,MATCH(I21,Допущения!$H$58:$O$58,1)),Допущения!$H$59)*Допущения!$E$19</f>
        <v>7.82</v>
      </c>
      <c r="J27" s="75" t="n">
        <f aca="false">IFERROR(INDEX(Допущения!$H$59:$O$59,MATCH(J21,Допущения!$H$58:$O$58,1)),Допущения!$H$59)*Допущения!$E$19</f>
        <v>7.82</v>
      </c>
      <c r="K27" s="75" t="n">
        <f aca="false">IFERROR(INDEX(Допущения!$H$59:$O$59,MATCH(K21,Допущения!$H$58:$O$58,1)),Допущения!$H$59)*Допущения!$E$19</f>
        <v>7.67</v>
      </c>
      <c r="L27" s="75" t="n">
        <f aca="false">IFERROR(INDEX(Допущения!$H$59:$O$59,MATCH(L21,Допущения!$H$58:$O$58,1)),Допущения!$H$59)*Допущения!$E$19</f>
        <v>7.67</v>
      </c>
      <c r="M27" s="75" t="n">
        <f aca="false">IFERROR(INDEX(Допущения!$H$59:$O$59,MATCH(M21,Допущения!$H$58:$O$58,1)),Допущения!$H$59)*Допущения!$E$19</f>
        <v>7.67</v>
      </c>
      <c r="N27" s="75" t="n">
        <f aca="false">IFERROR(INDEX(Допущения!$H$59:$O$59,MATCH(N21,Допущения!$H$58:$O$58,1)),Допущения!$H$59)*Допущения!$E$19</f>
        <v>7.42</v>
      </c>
      <c r="O27" s="75" t="n">
        <f aca="false">IFERROR(INDEX(Допущения!$H$59:$O$59,MATCH(O21,Допущения!$H$58:$O$58,1)),Допущения!$H$59)*Допущения!$E$19</f>
        <v>7.42</v>
      </c>
      <c r="P27" s="75" t="n">
        <f aca="false">IFERROR(INDEX(Допущения!$H$59:$O$59,MATCH(P21,Допущения!$H$58:$O$58,1)),Допущения!$H$59)*Допущения!$E$19</f>
        <v>7.42</v>
      </c>
      <c r="Q27" s="75" t="n">
        <f aca="false">IFERROR(INDEX(Допущения!$H$59:$O$59,MATCH(Q21,Допущения!$H$58:$O$58,1)),Допущения!$H$59)*Допущения!$E$19</f>
        <v>7.12</v>
      </c>
      <c r="R27" s="75" t="n">
        <f aca="false">IFERROR(INDEX(Допущения!$H$59:$O$59,MATCH(R21,Допущения!$H$58:$O$58,1)),Допущения!$H$59)*Допущения!$E$19</f>
        <v>7.12</v>
      </c>
      <c r="S27" s="75" t="n">
        <f aca="false">IFERROR(INDEX(Допущения!$H$59:$O$59,MATCH(S21,Допущения!$H$58:$O$58,1)),Допущения!$H$59)*Допущения!$E$19</f>
        <v>7.12</v>
      </c>
      <c r="T27" s="75" t="n">
        <f aca="false">IFERROR(INDEX(Допущения!$H$59:$O$59,MATCH(T21,Допущения!$H$58:$O$58,1)),Допущения!$H$59)*Допущения!$E$19</f>
        <v>7.12</v>
      </c>
      <c r="U27" s="75" t="n">
        <f aca="false">IFERROR(INDEX(Допущения!$H$59:$O$59,MATCH(U21,Допущения!$H$58:$O$58,1)),Допущения!$H$59)*Допущения!$E$19</f>
        <v>7.12</v>
      </c>
      <c r="V27" s="75" t="n">
        <f aca="false">IFERROR(INDEX(Допущения!$H$59:$O$59,MATCH(V21,Допущения!$H$58:$O$58,1)),Допущения!$H$59)*Допущения!$E$19</f>
        <v>7.12</v>
      </c>
      <c r="W27" s="75" t="n">
        <f aca="false">IFERROR(INDEX(Допущения!$H$59:$O$59,MATCH(W21,Допущения!$H$58:$O$58,1)),Допущения!$H$59)*Допущения!$E$19</f>
        <v>7.12</v>
      </c>
      <c r="X27" s="75" t="n">
        <f aca="false">IFERROR(INDEX(Допущения!$H$59:$O$59,MATCH(X21,Допущения!$H$58:$O$58,1)),Допущения!$H$59)*Допущения!$E$19</f>
        <v>7.12</v>
      </c>
      <c r="Y27" s="75" t="n">
        <f aca="false">IFERROR(INDEX(Допущения!$H$59:$O$59,MATCH(Y21,Допущения!$H$58:$O$58,1)),Допущения!$H$59)*Допущения!$E$19</f>
        <v>7.12</v>
      </c>
      <c r="Z27" s="75" t="n">
        <f aca="false">IFERROR(INDEX(Допущения!$H$59:$O$59,MATCH(Z21,Допущения!$H$58:$O$58,1)),Допущения!$H$59)*Допущения!$E$19</f>
        <v>7.12</v>
      </c>
      <c r="AA27" s="75" t="n">
        <f aca="false">IFERROR(INDEX(Допущения!$H$59:$O$59,MATCH(AA21,Допущения!$H$58:$O$58,1)),Допущения!$H$59)*Допущения!$E$19</f>
        <v>7.12</v>
      </c>
      <c r="AB27" s="75" t="n">
        <f aca="false">IFERROR(INDEX(Допущения!$H$59:$O$59,MATCH(AB21,Допущения!$H$58:$O$58,1)),Допущения!$H$59)*Допущения!$E$19</f>
        <v>7.12</v>
      </c>
      <c r="AC27" s="75" t="n">
        <f aca="false">IFERROR(INDEX(Допущения!$H$59:$O$59,MATCH(AC21,Допущения!$H$58:$O$58,1)),Допущения!$H$59)*Допущения!$E$19</f>
        <v>7.12</v>
      </c>
      <c r="AD27" s="75" t="n">
        <f aca="false">IFERROR(INDEX(Допущения!$H$59:$O$59,MATCH(AD21,Допущения!$H$58:$O$58,1)),Допущения!$H$59)*Допущения!$E$19</f>
        <v>7.12</v>
      </c>
      <c r="AE27" s="75" t="n">
        <f aca="false">IFERROR(INDEX(Допущения!$H$59:$O$59,MATCH(AE21,Допущения!$H$58:$O$58,1)),Допущения!$H$59)*Допущения!$E$19</f>
        <v>7.12</v>
      </c>
      <c r="AF27" s="75" t="n">
        <f aca="false">IFERROR(INDEX(Допущения!$H$59:$O$59,MATCH(AF21,Допущения!$H$58:$O$58,1)),Допущения!$H$59)*Допущения!$E$19</f>
        <v>7.12</v>
      </c>
      <c r="AG27" s="75" t="n">
        <f aca="false">IFERROR(INDEX(Допущения!$H$59:$O$59,MATCH(AG21,Допущения!$H$58:$O$58,1)),Допущения!$H$59)*Допущения!$E$19</f>
        <v>7.12</v>
      </c>
      <c r="AH27" s="75" t="n">
        <f aca="false">IFERROR(INDEX(Допущения!$H$59:$O$59,MATCH(AH21,Допущения!$H$58:$O$58,1)),Допущения!$H$59)*Допущения!$E$19</f>
        <v>7.12</v>
      </c>
      <c r="AI27" s="75" t="n">
        <f aca="false">IFERROR(INDEX(Допущения!$H$59:$O$59,MATCH(AI21,Допущения!$H$58:$O$58,1)),Допущения!$H$59)*Допущения!$E$19</f>
        <v>7.12</v>
      </c>
      <c r="AJ27" s="75" t="n">
        <f aca="false">IFERROR(INDEX(Допущения!$H$59:$O$59,MATCH(AJ21,Допущения!$H$58:$O$58,1)),Допущения!$H$59)*Допущения!$E$19</f>
        <v>7.12</v>
      </c>
      <c r="AK27" s="75" t="n">
        <f aca="false">IFERROR(INDEX(Допущения!$H$59:$O$59,MATCH(AK21,Допущения!$H$58:$O$58,1)),Допущения!$H$59)*Допущения!$E$19</f>
        <v>7.12</v>
      </c>
      <c r="AL27" s="75" t="n">
        <f aca="false">IFERROR(INDEX(Допущения!$H$59:$O$59,MATCH(AL21,Допущения!$H$58:$O$58,1)),Допущения!$H$59)*Допущения!$E$19</f>
        <v>7.12</v>
      </c>
      <c r="AM27" s="75" t="n">
        <f aca="false">IFERROR(INDEX(Допущения!$H$59:$O$59,MATCH(AM21,Допущения!$H$58:$O$58,1)),Допущения!$H$59)*Допущения!$E$19</f>
        <v>7.12</v>
      </c>
    </row>
    <row r="28" customFormat="false" ht="15" hidden="false" customHeight="true" outlineLevel="0" collapsed="false">
      <c r="A28" s="16" t="s">
        <v>484</v>
      </c>
      <c r="C28" s="75" t="n">
        <f aca="false">IFERROR(INDEX(Допущения!$H$60:$O$60,MATCH(C22,Допущения!$H$58:$O$58,1)),Допущения!$H$60)*Допущения!$E$19</f>
        <v>8.34</v>
      </c>
      <c r="D28" s="75" t="n">
        <f aca="false">IFERROR(INDEX(Допущения!$H$60:$O$60,MATCH(D22,Допущения!$H$58:$O$58,1)),Допущения!$H$60)*Допущения!$E$19</f>
        <v>8.34</v>
      </c>
      <c r="E28" s="75" t="n">
        <f aca="false">IFERROR(INDEX(Допущения!$H$60:$O$60,MATCH(E22,Допущения!$H$58:$O$58,1)),Допущения!$H$60)*Допущения!$E$19</f>
        <v>7.99</v>
      </c>
      <c r="F28" s="75" t="n">
        <f aca="false">IFERROR(INDEX(Допущения!$H$60:$O$60,MATCH(F22,Допущения!$H$58:$O$58,1)),Допущения!$H$60)*Допущения!$E$19</f>
        <v>7.64</v>
      </c>
      <c r="G28" s="75" t="n">
        <f aca="false">IFERROR(INDEX(Допущения!$H$60:$O$60,MATCH(G22,Допущения!$H$58:$O$58,1)),Допущения!$H$60)*Допущения!$E$19</f>
        <v>7.64</v>
      </c>
      <c r="H28" s="75" t="n">
        <f aca="false">IFERROR(INDEX(Допущения!$H$60:$O$60,MATCH(H22,Допущения!$H$58:$O$58,1)),Допущения!$H$60)*Допущения!$E$19</f>
        <v>7.44</v>
      </c>
      <c r="I28" s="75" t="n">
        <f aca="false">IFERROR(INDEX(Допущения!$H$60:$O$60,MATCH(I22,Допущения!$H$58:$O$58,1)),Допущения!$H$60)*Допущения!$E$19</f>
        <v>7.44</v>
      </c>
      <c r="J28" s="75" t="n">
        <f aca="false">IFERROR(INDEX(Допущения!$H$60:$O$60,MATCH(J22,Допущения!$H$58:$O$58,1)),Допущения!$H$60)*Допущения!$E$19</f>
        <v>7.44</v>
      </c>
      <c r="K28" s="75" t="n">
        <f aca="false">IFERROR(INDEX(Допущения!$H$60:$O$60,MATCH(K22,Допущения!$H$58:$O$58,1)),Допущения!$H$60)*Допущения!$E$19</f>
        <v>7.44</v>
      </c>
      <c r="L28" s="75" t="n">
        <f aca="false">IFERROR(INDEX(Допущения!$H$60:$O$60,MATCH(L22,Допущения!$H$58:$O$58,1)),Допущения!$H$60)*Допущения!$E$19</f>
        <v>7.44</v>
      </c>
      <c r="M28" s="75" t="n">
        <f aca="false">IFERROR(INDEX(Допущения!$H$60:$O$60,MATCH(M22,Допущения!$H$58:$O$58,1)),Допущения!$H$60)*Допущения!$E$19</f>
        <v>7.24</v>
      </c>
      <c r="N28" s="75" t="n">
        <f aca="false">IFERROR(INDEX(Допущения!$H$60:$O$60,MATCH(N22,Допущения!$H$58:$O$58,1)),Допущения!$H$60)*Допущения!$E$19</f>
        <v>7.24</v>
      </c>
      <c r="O28" s="75" t="n">
        <f aca="false">IFERROR(INDEX(Допущения!$H$60:$O$60,MATCH(O22,Допущения!$H$58:$O$58,1)),Допущения!$H$60)*Допущения!$E$19</f>
        <v>7.24</v>
      </c>
      <c r="P28" s="75" t="n">
        <f aca="false">IFERROR(INDEX(Допущения!$H$60:$O$60,MATCH(P22,Допущения!$H$58:$O$58,1)),Допущения!$H$60)*Допущения!$E$19</f>
        <v>7.24</v>
      </c>
      <c r="Q28" s="75" t="n">
        <f aca="false">IFERROR(INDEX(Допущения!$H$60:$O$60,MATCH(Q22,Допущения!$H$58:$O$58,1)),Допущения!$H$60)*Допущения!$E$19</f>
        <v>7.24</v>
      </c>
      <c r="R28" s="75" t="n">
        <f aca="false">IFERROR(INDEX(Допущения!$H$60:$O$60,MATCH(R22,Допущения!$H$58:$O$58,1)),Допущения!$H$60)*Допущения!$E$19</f>
        <v>7.24</v>
      </c>
      <c r="S28" s="75" t="n">
        <f aca="false">IFERROR(INDEX(Допущения!$H$60:$O$60,MATCH(S22,Допущения!$H$58:$O$58,1)),Допущения!$H$60)*Допущения!$E$19</f>
        <v>7.24</v>
      </c>
      <c r="T28" s="75" t="n">
        <f aca="false">IFERROR(INDEX(Допущения!$H$60:$O$60,MATCH(T22,Допущения!$H$58:$O$58,1)),Допущения!$H$60)*Допущения!$E$19</f>
        <v>6.94</v>
      </c>
      <c r="U28" s="75" t="n">
        <f aca="false">IFERROR(INDEX(Допущения!$H$60:$O$60,MATCH(U22,Допущения!$H$58:$O$58,1)),Допущения!$H$60)*Допущения!$E$19</f>
        <v>6.94</v>
      </c>
      <c r="V28" s="75" t="n">
        <f aca="false">IFERROR(INDEX(Допущения!$H$60:$O$60,MATCH(V22,Допущения!$H$58:$O$58,1)),Допущения!$H$60)*Допущения!$E$19</f>
        <v>6.94</v>
      </c>
      <c r="W28" s="75" t="n">
        <f aca="false">IFERROR(INDEX(Допущения!$H$60:$O$60,MATCH(W22,Допущения!$H$58:$O$58,1)),Допущения!$H$60)*Допущения!$E$19</f>
        <v>6.94</v>
      </c>
      <c r="X28" s="75" t="n">
        <f aca="false">IFERROR(INDEX(Допущения!$H$60:$O$60,MATCH(X22,Допущения!$H$58:$O$58,1)),Допущения!$H$60)*Допущения!$E$19</f>
        <v>6.94</v>
      </c>
      <c r="Y28" s="75" t="n">
        <f aca="false">IFERROR(INDEX(Допущения!$H$60:$O$60,MATCH(Y22,Допущения!$H$58:$O$58,1)),Допущения!$H$60)*Допущения!$E$19</f>
        <v>6.94</v>
      </c>
      <c r="Z28" s="75" t="n">
        <f aca="false">IFERROR(INDEX(Допущения!$H$60:$O$60,MATCH(Z22,Допущения!$H$58:$O$58,1)),Допущения!$H$60)*Допущения!$E$19</f>
        <v>6.94</v>
      </c>
      <c r="AA28" s="75" t="n">
        <f aca="false">IFERROR(INDEX(Допущения!$H$60:$O$60,MATCH(AA22,Допущения!$H$58:$O$58,1)),Допущения!$H$60)*Допущения!$E$19</f>
        <v>6.94</v>
      </c>
      <c r="AB28" s="75" t="n">
        <f aca="false">IFERROR(INDEX(Допущения!$H$60:$O$60,MATCH(AB22,Допущения!$H$58:$O$58,1)),Допущения!$H$60)*Допущения!$E$19</f>
        <v>6.74</v>
      </c>
      <c r="AC28" s="75" t="n">
        <f aca="false">IFERROR(INDEX(Допущения!$H$60:$O$60,MATCH(AC22,Допущения!$H$58:$O$58,1)),Допущения!$H$60)*Допущения!$E$19</f>
        <v>6.74</v>
      </c>
      <c r="AD28" s="75" t="n">
        <f aca="false">IFERROR(INDEX(Допущения!$H$60:$O$60,MATCH(AD22,Допущения!$H$58:$O$58,1)),Допущения!$H$60)*Допущения!$E$19</f>
        <v>6.74</v>
      </c>
      <c r="AE28" s="75" t="n">
        <f aca="false">IFERROR(INDEX(Допущения!$H$60:$O$60,MATCH(AE22,Допущения!$H$58:$O$58,1)),Допущения!$H$60)*Допущения!$E$19</f>
        <v>6.74</v>
      </c>
      <c r="AF28" s="75" t="n">
        <f aca="false">IFERROR(INDEX(Допущения!$H$60:$O$60,MATCH(AF22,Допущения!$H$58:$O$58,1)),Допущения!$H$60)*Допущения!$E$19</f>
        <v>6.74</v>
      </c>
      <c r="AG28" s="75" t="n">
        <f aca="false">IFERROR(INDEX(Допущения!$H$60:$O$60,MATCH(AG22,Допущения!$H$58:$O$58,1)),Допущения!$H$60)*Допущения!$E$19</f>
        <v>6.74</v>
      </c>
      <c r="AH28" s="75" t="n">
        <f aca="false">IFERROR(INDEX(Допущения!$H$60:$O$60,MATCH(AH22,Допущения!$H$58:$O$58,1)),Допущения!$H$60)*Допущения!$E$19</f>
        <v>6.59</v>
      </c>
      <c r="AI28" s="75" t="n">
        <f aca="false">IFERROR(INDEX(Допущения!$H$60:$O$60,MATCH(AI22,Допущения!$H$58:$O$58,1)),Допущения!$H$60)*Допущения!$E$19</f>
        <v>6.59</v>
      </c>
      <c r="AJ28" s="75" t="n">
        <f aca="false">IFERROR(INDEX(Допущения!$H$60:$O$60,MATCH(AJ22,Допущения!$H$58:$O$58,1)),Допущения!$H$60)*Допущения!$E$19</f>
        <v>6.59</v>
      </c>
      <c r="AK28" s="75" t="n">
        <f aca="false">IFERROR(INDEX(Допущения!$H$60:$O$60,MATCH(AK22,Допущения!$H$58:$O$58,1)),Допущения!$H$60)*Допущения!$E$19</f>
        <v>6.59</v>
      </c>
      <c r="AL28" s="75" t="n">
        <f aca="false">IFERROR(INDEX(Допущения!$H$60:$O$60,MATCH(AL22,Допущения!$H$58:$O$58,1)),Допущения!$H$60)*Допущения!$E$19</f>
        <v>6.59</v>
      </c>
      <c r="AM28" s="75" t="n">
        <f aca="false">IFERROR(INDEX(Допущения!$H$60:$O$60,MATCH(AM22,Допущения!$H$58:$O$58,1)),Допущения!$H$60)*Допущения!$E$19</f>
        <v>6.59</v>
      </c>
    </row>
    <row r="29" customFormat="false" ht="15" hidden="false" customHeight="true" outlineLevel="0" collapsed="false">
      <c r="A29" s="16" t="s">
        <v>485</v>
      </c>
      <c r="C29" s="75" t="n">
        <f aca="false">IFERROR(INDEX(Допущения!$H$61:$O$61,MATCH(C23,Допущения!$H$58:$O$58,1)),Допущения!$H$61)*Допущения!$E$19</f>
        <v>5.51</v>
      </c>
      <c r="D29" s="75" t="n">
        <f aca="false">IFERROR(INDEX(Допущения!$H$61:$O$61,MATCH(D23,Допущения!$H$58:$O$58,1)),Допущения!$H$61)*Допущения!$E$19</f>
        <v>5.51</v>
      </c>
      <c r="E29" s="75" t="n">
        <f aca="false">IFERROR(INDEX(Допущения!$H$61:$O$61,MATCH(E23,Допущения!$H$58:$O$58,1)),Допущения!$H$61)*Допущения!$E$19</f>
        <v>4.81</v>
      </c>
      <c r="F29" s="75" t="n">
        <f aca="false">IFERROR(INDEX(Допущения!$H$61:$O$61,MATCH(F23,Допущения!$H$58:$O$58,1)),Допущения!$H$61)*Допущения!$E$19</f>
        <v>4.61</v>
      </c>
      <c r="G29" s="75" t="n">
        <f aca="false">IFERROR(INDEX(Допущения!$H$61:$O$61,MATCH(G23,Допущения!$H$58:$O$58,1)),Допущения!$H$61)*Допущения!$E$19</f>
        <v>4.61</v>
      </c>
      <c r="H29" s="75" t="n">
        <f aca="false">IFERROR(INDEX(Допущения!$H$61:$O$61,MATCH(H23,Допущения!$H$58:$O$58,1)),Допущения!$H$61)*Допущения!$E$19</f>
        <v>4.61</v>
      </c>
      <c r="I29" s="75" t="n">
        <f aca="false">IFERROR(INDEX(Допущения!$H$61:$O$61,MATCH(I23,Допущения!$H$58:$O$58,1)),Допущения!$H$61)*Допущения!$E$19</f>
        <v>4.41</v>
      </c>
      <c r="J29" s="75" t="n">
        <f aca="false">IFERROR(INDEX(Допущения!$H$61:$O$61,MATCH(J23,Допущения!$H$58:$O$58,1)),Допущения!$H$61)*Допущения!$E$19</f>
        <v>4.41</v>
      </c>
      <c r="K29" s="75" t="n">
        <f aca="false">IFERROR(INDEX(Допущения!$H$61:$O$61,MATCH(K23,Допущения!$H$58:$O$58,1)),Допущения!$H$61)*Допущения!$E$19</f>
        <v>4.41</v>
      </c>
      <c r="L29" s="75" t="n">
        <f aca="false">IFERROR(INDEX(Допущения!$H$61:$O$61,MATCH(L23,Допущения!$H$58:$O$58,1)),Допущения!$H$61)*Допущения!$E$19</f>
        <v>4.41</v>
      </c>
      <c r="M29" s="75" t="n">
        <f aca="false">IFERROR(INDEX(Допущения!$H$61:$O$61,MATCH(M23,Допущения!$H$58:$O$58,1)),Допущения!$H$61)*Допущения!$E$19</f>
        <v>4.11</v>
      </c>
      <c r="N29" s="75" t="n">
        <f aca="false">IFERROR(INDEX(Допущения!$H$61:$O$61,MATCH(N23,Допущения!$H$58:$O$58,1)),Допущения!$H$61)*Допущения!$E$19</f>
        <v>4.11</v>
      </c>
      <c r="O29" s="75" t="n">
        <f aca="false">IFERROR(INDEX(Допущения!$H$61:$O$61,MATCH(O23,Допущения!$H$58:$O$58,1)),Допущения!$H$61)*Допущения!$E$19</f>
        <v>4.11</v>
      </c>
      <c r="P29" s="75" t="n">
        <f aca="false">IFERROR(INDEX(Допущения!$H$61:$O$61,MATCH(P23,Допущения!$H$58:$O$58,1)),Допущения!$H$61)*Допущения!$E$19</f>
        <v>4.11</v>
      </c>
      <c r="Q29" s="75" t="n">
        <f aca="false">IFERROR(INDEX(Допущения!$H$61:$O$61,MATCH(Q23,Допущения!$H$58:$O$58,1)),Допущения!$H$61)*Допущения!$E$19</f>
        <v>3.91</v>
      </c>
      <c r="R29" s="75" t="n">
        <f aca="false">IFERROR(INDEX(Допущения!$H$61:$O$61,MATCH(R23,Допущения!$H$58:$O$58,1)),Допущения!$H$61)*Допущения!$E$19</f>
        <v>3.91</v>
      </c>
      <c r="S29" s="75" t="n">
        <f aca="false">IFERROR(INDEX(Допущения!$H$61:$O$61,MATCH(S23,Допущения!$H$58:$O$58,1)),Допущения!$H$61)*Допущения!$E$19</f>
        <v>3.91</v>
      </c>
      <c r="T29" s="75" t="n">
        <f aca="false">IFERROR(INDEX(Допущения!$H$61:$O$61,MATCH(T23,Допущения!$H$58:$O$58,1)),Допущения!$H$61)*Допущения!$E$19</f>
        <v>3.91</v>
      </c>
      <c r="U29" s="75" t="n">
        <f aca="false">IFERROR(INDEX(Допущения!$H$61:$O$61,MATCH(U23,Допущения!$H$58:$O$58,1)),Допущения!$H$61)*Допущения!$E$19</f>
        <v>3.91</v>
      </c>
      <c r="V29" s="75" t="n">
        <f aca="false">IFERROR(INDEX(Допущения!$H$61:$O$61,MATCH(V23,Допущения!$H$58:$O$58,1)),Допущения!$H$61)*Допущения!$E$19</f>
        <v>3.76</v>
      </c>
      <c r="W29" s="75" t="n">
        <f aca="false">IFERROR(INDEX(Допущения!$H$61:$O$61,MATCH(W23,Допущения!$H$58:$O$58,1)),Допущения!$H$61)*Допущения!$E$19</f>
        <v>3.76</v>
      </c>
      <c r="X29" s="75" t="n">
        <f aca="false">IFERROR(INDEX(Допущения!$H$61:$O$61,MATCH(X23,Допущения!$H$58:$O$58,1)),Допущения!$H$61)*Допущения!$E$19</f>
        <v>3.76</v>
      </c>
      <c r="Y29" s="75" t="n">
        <f aca="false">IFERROR(INDEX(Допущения!$H$61:$O$61,MATCH(Y23,Допущения!$H$58:$O$58,1)),Допущения!$H$61)*Допущения!$E$19</f>
        <v>3.76</v>
      </c>
      <c r="Z29" s="75" t="n">
        <f aca="false">IFERROR(INDEX(Допущения!$H$61:$O$61,MATCH(Z23,Допущения!$H$58:$O$58,1)),Допущения!$H$61)*Допущения!$E$19</f>
        <v>3.76</v>
      </c>
      <c r="AA29" s="75" t="n">
        <f aca="false">IFERROR(INDEX(Допущения!$H$61:$O$61,MATCH(AA23,Допущения!$H$58:$O$58,1)),Допущения!$H$61)*Допущения!$E$19</f>
        <v>3.76</v>
      </c>
      <c r="AB29" s="75" t="n">
        <f aca="false">IFERROR(INDEX(Допущения!$H$61:$O$61,MATCH(AB23,Допущения!$H$58:$O$58,1)),Допущения!$H$61)*Допущения!$E$19</f>
        <v>3.76</v>
      </c>
      <c r="AC29" s="75" t="n">
        <f aca="false">IFERROR(INDEX(Допущения!$H$61:$O$61,MATCH(AC23,Допущения!$H$58:$O$58,1)),Допущения!$H$61)*Допущения!$E$19</f>
        <v>3.76</v>
      </c>
      <c r="AD29" s="75" t="n">
        <f aca="false">IFERROR(INDEX(Допущения!$H$61:$O$61,MATCH(AD23,Допущения!$H$58:$O$58,1)),Допущения!$H$61)*Допущения!$E$19</f>
        <v>3.76</v>
      </c>
      <c r="AE29" s="75" t="n">
        <f aca="false">IFERROR(INDEX(Допущения!$H$61:$O$61,MATCH(AE23,Допущения!$H$58:$O$58,1)),Допущения!$H$61)*Допущения!$E$19</f>
        <v>3.76</v>
      </c>
      <c r="AF29" s="75" t="n">
        <f aca="false">IFERROR(INDEX(Допущения!$H$61:$O$61,MATCH(AF23,Допущения!$H$58:$O$58,1)),Допущения!$H$61)*Допущения!$E$19</f>
        <v>3.76</v>
      </c>
      <c r="AG29" s="75" t="n">
        <f aca="false">IFERROR(INDEX(Допущения!$H$61:$O$61,MATCH(AG23,Допущения!$H$58:$O$58,1)),Допущения!$H$61)*Допущения!$E$19</f>
        <v>3.76</v>
      </c>
      <c r="AH29" s="75" t="n">
        <f aca="false">IFERROR(INDEX(Допущения!$H$61:$O$61,MATCH(AH23,Допущения!$H$58:$O$58,1)),Допущения!$H$61)*Допущения!$E$19</f>
        <v>3.76</v>
      </c>
      <c r="AI29" s="75" t="n">
        <f aca="false">IFERROR(INDEX(Допущения!$H$61:$O$61,MATCH(AI23,Допущения!$H$58:$O$58,1)),Допущения!$H$61)*Допущения!$E$19</f>
        <v>3.76</v>
      </c>
      <c r="AJ29" s="75" t="n">
        <f aca="false">IFERROR(INDEX(Допущения!$H$61:$O$61,MATCH(AJ23,Допущения!$H$58:$O$58,1)),Допущения!$H$61)*Допущения!$E$19</f>
        <v>3.76</v>
      </c>
      <c r="AK29" s="75" t="n">
        <f aca="false">IFERROR(INDEX(Допущения!$H$61:$O$61,MATCH(AK23,Допущения!$H$58:$O$58,1)),Допущения!$H$61)*Допущения!$E$19</f>
        <v>3.76</v>
      </c>
      <c r="AL29" s="75" t="n">
        <f aca="false">IFERROR(INDEX(Допущения!$H$61:$O$61,MATCH(AL23,Допущения!$H$58:$O$58,1)),Допущения!$H$61)*Допущения!$E$19</f>
        <v>3.76</v>
      </c>
      <c r="AM29" s="75" t="n">
        <f aca="false">IFERROR(INDEX(Допущения!$H$61:$O$61,MATCH(AM23,Допущения!$H$58:$O$58,1)),Допущения!$H$61)*Допущения!$E$19</f>
        <v>3.76</v>
      </c>
    </row>
    <row r="30" customFormat="false" ht="15" hidden="false" customHeight="true" outlineLevel="0" collapsed="false">
      <c r="A30" s="16" t="s">
        <v>486</v>
      </c>
      <c r="C30" s="75" t="n">
        <f aca="false">IFERROR(INDEX(Допущения!$H$62:$O$62,MATCH(C24,Допущения!$H$58:$O$58,1)),Допущения!$H$62)*Допущения!$E$19</f>
        <v>6.9</v>
      </c>
      <c r="D30" s="75" t="n">
        <f aca="false">IFERROR(INDEX(Допущения!$H$62:$O$62,MATCH(D24,Допущения!$H$58:$O$58,1)),Допущения!$H$62)*Допущения!$E$19</f>
        <v>6.9</v>
      </c>
      <c r="E30" s="75" t="n">
        <f aca="false">IFERROR(INDEX(Допущения!$H$62:$O$62,MATCH(E24,Допущения!$H$58:$O$58,1)),Допущения!$H$62)*Допущения!$E$19</f>
        <v>6.9</v>
      </c>
      <c r="F30" s="75" t="n">
        <f aca="false">IFERROR(INDEX(Допущения!$H$62:$O$62,MATCH(F24,Допущения!$H$58:$O$58,1)),Допущения!$H$62)*Допущения!$E$19</f>
        <v>6.9</v>
      </c>
      <c r="G30" s="75" t="n">
        <f aca="false">IFERROR(INDEX(Допущения!$H$62:$O$62,MATCH(G24,Допущения!$H$58:$O$58,1)),Допущения!$H$62)*Допущения!$E$19</f>
        <v>6.75</v>
      </c>
      <c r="H30" s="75" t="n">
        <f aca="false">IFERROR(INDEX(Допущения!$H$62:$O$62,MATCH(H24,Допущения!$H$58:$O$58,1)),Допущения!$H$62)*Допущения!$E$19</f>
        <v>6.5</v>
      </c>
      <c r="I30" s="75" t="n">
        <f aca="false">IFERROR(INDEX(Допущения!$H$62:$O$62,MATCH(I24,Допущения!$H$58:$O$58,1)),Допущения!$H$62)*Допущения!$E$19</f>
        <v>6.5</v>
      </c>
      <c r="J30" s="75" t="n">
        <f aca="false">IFERROR(INDEX(Допущения!$H$62:$O$62,MATCH(J24,Допущения!$H$58:$O$58,1)),Допущения!$H$62)*Допущения!$E$19</f>
        <v>6.5</v>
      </c>
      <c r="K30" s="75" t="n">
        <f aca="false">IFERROR(INDEX(Допущения!$H$62:$O$62,MATCH(K24,Допущения!$H$58:$O$58,1)),Допущения!$H$62)*Допущения!$E$19</f>
        <v>6.35</v>
      </c>
      <c r="L30" s="75" t="n">
        <f aca="false">IFERROR(INDEX(Допущения!$H$62:$O$62,MATCH(L24,Допущения!$H$58:$O$58,1)),Допущения!$H$62)*Допущения!$E$19</f>
        <v>6.35</v>
      </c>
      <c r="M30" s="75" t="n">
        <f aca="false">IFERROR(INDEX(Допущения!$H$62:$O$62,MATCH(M24,Допущения!$H$58:$O$58,1)),Допущения!$H$62)*Допущения!$E$19</f>
        <v>6.35</v>
      </c>
      <c r="N30" s="75" t="n">
        <f aca="false">IFERROR(INDEX(Допущения!$H$62:$O$62,MATCH(N24,Допущения!$H$58:$O$58,1)),Допущения!$H$62)*Допущения!$E$19</f>
        <v>6.35</v>
      </c>
      <c r="O30" s="75" t="n">
        <f aca="false">IFERROR(INDEX(Допущения!$H$62:$O$62,MATCH(O24,Допущения!$H$58:$O$58,1)),Допущения!$H$62)*Допущения!$E$19</f>
        <v>6.35</v>
      </c>
      <c r="P30" s="75" t="n">
        <f aca="false">IFERROR(INDEX(Допущения!$H$62:$O$62,MATCH(P24,Допущения!$H$58:$O$58,1)),Допущения!$H$62)*Допущения!$E$19</f>
        <v>6.35</v>
      </c>
      <c r="Q30" s="75" t="n">
        <f aca="false">IFERROR(INDEX(Допущения!$H$62:$O$62,MATCH(Q24,Допущения!$H$58:$O$58,1)),Допущения!$H$62)*Допущения!$E$19</f>
        <v>6.35</v>
      </c>
      <c r="R30" s="75" t="n">
        <f aca="false">IFERROR(INDEX(Допущения!$H$62:$O$62,MATCH(R24,Допущения!$H$58:$O$58,1)),Допущения!$H$62)*Допущения!$E$19</f>
        <v>6.35</v>
      </c>
      <c r="S30" s="75" t="n">
        <f aca="false">IFERROR(INDEX(Допущения!$H$62:$O$62,MATCH(S24,Допущения!$H$58:$O$58,1)),Допущения!$H$62)*Допущения!$E$19</f>
        <v>6.35</v>
      </c>
      <c r="T30" s="75" t="n">
        <f aca="false">IFERROR(INDEX(Допущения!$H$62:$O$62,MATCH(T24,Допущения!$H$58:$O$58,1)),Допущения!$H$62)*Допущения!$E$19</f>
        <v>6.2</v>
      </c>
      <c r="U30" s="75" t="n">
        <f aca="false">IFERROR(INDEX(Допущения!$H$62:$O$62,MATCH(U24,Допущения!$H$58:$O$58,1)),Допущения!$H$62)*Допущения!$E$19</f>
        <v>6.2</v>
      </c>
      <c r="V30" s="75" t="n">
        <f aca="false">IFERROR(INDEX(Допущения!$H$62:$O$62,MATCH(V24,Допущения!$H$58:$O$58,1)),Допущения!$H$62)*Допущения!$E$19</f>
        <v>6.2</v>
      </c>
      <c r="W30" s="75" t="n">
        <f aca="false">IFERROR(INDEX(Допущения!$H$62:$O$62,MATCH(W24,Допущения!$H$58:$O$58,1)),Допущения!$H$62)*Допущения!$E$19</f>
        <v>6.2</v>
      </c>
      <c r="X30" s="75" t="n">
        <f aca="false">IFERROR(INDEX(Допущения!$H$62:$O$62,MATCH(X24,Допущения!$H$58:$O$58,1)),Допущения!$H$62)*Допущения!$E$19</f>
        <v>6.2</v>
      </c>
      <c r="Y30" s="75" t="n">
        <f aca="false">IFERROR(INDEX(Допущения!$H$62:$O$62,MATCH(Y24,Допущения!$H$58:$O$58,1)),Допущения!$H$62)*Допущения!$E$19</f>
        <v>6.2</v>
      </c>
      <c r="Z30" s="75" t="n">
        <f aca="false">IFERROR(INDEX(Допущения!$H$62:$O$62,MATCH(Z24,Допущения!$H$58:$O$58,1)),Допущения!$H$62)*Допущения!$E$19</f>
        <v>6.2</v>
      </c>
      <c r="AA30" s="75" t="n">
        <f aca="false">IFERROR(INDEX(Допущения!$H$62:$O$62,MATCH(AA24,Допущения!$H$58:$O$58,1)),Допущения!$H$62)*Допущения!$E$19</f>
        <v>6.2</v>
      </c>
      <c r="AB30" s="75" t="n">
        <f aca="false">IFERROR(INDEX(Допущения!$H$62:$O$62,MATCH(AB24,Допущения!$H$58:$O$58,1)),Допущения!$H$62)*Допущения!$E$19</f>
        <v>6.2</v>
      </c>
      <c r="AC30" s="75" t="n">
        <f aca="false">IFERROR(INDEX(Допущения!$H$62:$O$62,MATCH(AC24,Допущения!$H$58:$O$58,1)),Допущения!$H$62)*Допущения!$E$19</f>
        <v>6.2</v>
      </c>
      <c r="AD30" s="75" t="n">
        <f aca="false">IFERROR(INDEX(Допущения!$H$62:$O$62,MATCH(AD24,Допущения!$H$58:$O$58,1)),Допущения!$H$62)*Допущения!$E$19</f>
        <v>6.2</v>
      </c>
      <c r="AE30" s="75" t="n">
        <f aca="false">IFERROR(INDEX(Допущения!$H$62:$O$62,MATCH(AE24,Допущения!$H$58:$O$58,1)),Допущения!$H$62)*Допущения!$E$19</f>
        <v>6.2</v>
      </c>
      <c r="AF30" s="75" t="n">
        <f aca="false">IFERROR(INDEX(Допущения!$H$62:$O$62,MATCH(AF24,Допущения!$H$58:$O$58,1)),Допущения!$H$62)*Допущения!$E$19</f>
        <v>6.2</v>
      </c>
      <c r="AG30" s="75" t="n">
        <f aca="false">IFERROR(INDEX(Допущения!$H$62:$O$62,MATCH(AG24,Допущения!$H$58:$O$58,1)),Допущения!$H$62)*Допущения!$E$19</f>
        <v>6.2</v>
      </c>
      <c r="AH30" s="75" t="n">
        <f aca="false">IFERROR(INDEX(Допущения!$H$62:$O$62,MATCH(AH24,Допущения!$H$58:$O$58,1)),Допущения!$H$62)*Допущения!$E$19</f>
        <v>6.2</v>
      </c>
      <c r="AI30" s="75" t="n">
        <f aca="false">IFERROR(INDEX(Допущения!$H$62:$O$62,MATCH(AI24,Допущения!$H$58:$O$58,1)),Допущения!$H$62)*Допущения!$E$19</f>
        <v>6.2</v>
      </c>
      <c r="AJ30" s="75" t="n">
        <f aca="false">IFERROR(INDEX(Допущения!$H$62:$O$62,MATCH(AJ24,Допущения!$H$58:$O$58,1)),Допущения!$H$62)*Допущения!$E$19</f>
        <v>6.2</v>
      </c>
      <c r="AK30" s="75" t="n">
        <f aca="false">IFERROR(INDEX(Допущения!$H$62:$O$62,MATCH(AK24,Допущения!$H$58:$O$58,1)),Допущения!$H$62)*Допущения!$E$19</f>
        <v>6.2</v>
      </c>
      <c r="AL30" s="75" t="n">
        <f aca="false">IFERROR(INDEX(Допущения!$H$62:$O$62,MATCH(AL24,Допущения!$H$58:$O$58,1)),Допущения!$H$62)*Допущения!$E$19</f>
        <v>6.05</v>
      </c>
      <c r="AM30" s="75" t="n">
        <f aca="false">IFERROR(INDEX(Допущения!$H$62:$O$62,MATCH(AM24,Допущения!$H$58:$O$58,1)),Допущения!$H$62)*Допущения!$E$19</f>
        <v>6.05</v>
      </c>
    </row>
    <row r="31" customFormat="false" ht="15" hidden="false" customHeight="true" outlineLevel="0" collapsed="false">
      <c r="A31" s="29" t="s">
        <v>7</v>
      </c>
    </row>
    <row r="32" customFormat="false" ht="15" hidden="false" customHeight="true" outlineLevel="0" collapsed="false">
      <c r="A32" s="16" t="s">
        <v>487</v>
      </c>
      <c r="C32" s="76" t="n">
        <f aca="false">C12*Допущения!$B$74</f>
        <v>0</v>
      </c>
      <c r="D32" s="76" t="n">
        <f aca="false">D12*Допущения!$B$74</f>
        <v>25704.8</v>
      </c>
      <c r="E32" s="76" t="n">
        <f aca="false">E12*Допущения!$B$74</f>
        <v>70104</v>
      </c>
      <c r="F32" s="76" t="n">
        <f aca="false">F12*Допущения!$B$74</f>
        <v>80467.2</v>
      </c>
      <c r="G32" s="76" t="n">
        <f aca="false">G12*Допущения!$B$74</f>
        <v>110947.2</v>
      </c>
      <c r="H32" s="76" t="n">
        <f aca="false">H12*Допущения!$B$74</f>
        <v>126796.8</v>
      </c>
      <c r="I32" s="76" t="n">
        <f aca="false">I12*Допущения!$B$74</f>
        <v>142646.4</v>
      </c>
      <c r="J32" s="76" t="n">
        <f aca="false">J12*Допущения!$B$74</f>
        <v>158496</v>
      </c>
      <c r="K32" s="76" t="n">
        <f aca="false">K12*Допущения!$B$74</f>
        <v>174345.6</v>
      </c>
      <c r="L32" s="76" t="n">
        <f aca="false">L12*Допущения!$B$74</f>
        <v>190195.2</v>
      </c>
      <c r="M32" s="76" t="n">
        <f aca="false">M12*Допущения!$B$74</f>
        <v>206044.8</v>
      </c>
      <c r="N32" s="76" t="n">
        <f aca="false">N12*Допущения!$B$74</f>
        <v>221894.4</v>
      </c>
      <c r="O32" s="76" t="n">
        <f aca="false">O12*Допущения!$B$74</f>
        <v>237744</v>
      </c>
      <c r="P32" s="76" t="n">
        <f aca="false">P12*Допущения!$B$74</f>
        <v>295278.048</v>
      </c>
      <c r="Q32" s="76" t="n">
        <f aca="false">Q12*Допущения!$B$74</f>
        <v>317150.496</v>
      </c>
      <c r="R32" s="76" t="n">
        <f aca="false">R12*Допущения!$B$74</f>
        <v>324282.816</v>
      </c>
      <c r="S32" s="76" t="n">
        <f aca="false">S12*Допущения!$B$74</f>
        <v>313822.08</v>
      </c>
      <c r="T32" s="76" t="n">
        <f aca="false">T12*Допущения!$B$74</f>
        <v>332841.6</v>
      </c>
      <c r="U32" s="76" t="n">
        <f aca="false">U12*Допущения!$B$74</f>
        <v>351861.12</v>
      </c>
      <c r="V32" s="76" t="n">
        <f aca="false">V12*Допущения!$B$74</f>
        <v>370880.64</v>
      </c>
      <c r="W32" s="76" t="n">
        <f aca="false">W12*Допущения!$B$74</f>
        <v>389900.16</v>
      </c>
      <c r="X32" s="76" t="n">
        <f aca="false">X12*Допущения!$B$74</f>
        <v>408919.68</v>
      </c>
      <c r="Y32" s="76" t="n">
        <f aca="false">Y12*Допущения!$B$74</f>
        <v>427939.2</v>
      </c>
      <c r="Z32" s="76" t="n">
        <f aca="false">Z12*Допущения!$B$74</f>
        <v>446958.72</v>
      </c>
      <c r="AA32" s="76" t="n">
        <f aca="false">AA12*Допущения!$B$74</f>
        <v>465978.24</v>
      </c>
      <c r="AB32" s="76" t="n">
        <f aca="false">AB12*Допущения!$B$74</f>
        <v>557747.424</v>
      </c>
      <c r="AC32" s="76" t="n">
        <f aca="false">AC12*Допущения!$B$74</f>
        <v>579619.872</v>
      </c>
      <c r="AD32" s="76" t="n">
        <f aca="false">AD12*Допущения!$B$74</f>
        <v>575340.48</v>
      </c>
      <c r="AE32" s="76" t="n">
        <f aca="false">AE12*Допущения!$B$74</f>
        <v>542056.32</v>
      </c>
      <c r="AF32" s="76" t="n">
        <f aca="false">AF12*Допущения!$B$74</f>
        <v>561075.84</v>
      </c>
      <c r="AG32" s="76" t="n">
        <f aca="false">AG12*Допущения!$B$74</f>
        <v>580095.36</v>
      </c>
      <c r="AH32" s="76" t="n">
        <f aca="false">AH12*Допущения!$B$74</f>
        <v>599114.88</v>
      </c>
      <c r="AI32" s="76" t="n">
        <f aca="false">AI12*Допущения!$B$74</f>
        <v>618134.4</v>
      </c>
      <c r="AJ32" s="76" t="n">
        <f aca="false">AJ12*Допущения!$B$74</f>
        <v>633984</v>
      </c>
      <c r="AK32" s="76" t="n">
        <f aca="false">AK12*Допущения!$B$74</f>
        <v>633984</v>
      </c>
      <c r="AL32" s="76" t="n">
        <f aca="false">AL12*Допущения!$B$74</f>
        <v>633984</v>
      </c>
      <c r="AM32" s="76" t="n">
        <f aca="false">AM12*Допущения!$B$74</f>
        <v>633984</v>
      </c>
    </row>
    <row r="33" customFormat="false" ht="15" hidden="false" customHeight="true" outlineLevel="0" collapsed="false">
      <c r="A33" s="16" t="s">
        <v>488</v>
      </c>
      <c r="C33" s="76" t="n">
        <f aca="false">C13*Допущения!$B$74</f>
        <v>0</v>
      </c>
      <c r="D33" s="76" t="n">
        <f aca="false">D13*Допущения!$B$74</f>
        <v>2570.48</v>
      </c>
      <c r="E33" s="76" t="n">
        <f aca="false">E13*Допущения!$B$74</f>
        <v>7010.4</v>
      </c>
      <c r="F33" s="76" t="n">
        <f aca="false">F13*Допущения!$B$74</f>
        <v>8046.72</v>
      </c>
      <c r="G33" s="76" t="n">
        <f aca="false">G13*Допущения!$B$74</f>
        <v>11094.72</v>
      </c>
      <c r="H33" s="76" t="n">
        <f aca="false">H13*Допущения!$B$74</f>
        <v>12679.68</v>
      </c>
      <c r="I33" s="76" t="n">
        <f aca="false">I13*Допущения!$B$74</f>
        <v>14264.64</v>
      </c>
      <c r="J33" s="76" t="n">
        <f aca="false">J13*Допущения!$B$74</f>
        <v>15849.6</v>
      </c>
      <c r="K33" s="76" t="n">
        <f aca="false">K13*Допущения!$B$74</f>
        <v>17434.56</v>
      </c>
      <c r="L33" s="76" t="n">
        <f aca="false">L13*Допущения!$B$74</f>
        <v>19019.52</v>
      </c>
      <c r="M33" s="76" t="n">
        <f aca="false">M13*Допущения!$B$74</f>
        <v>20604.48</v>
      </c>
      <c r="N33" s="76" t="n">
        <f aca="false">N13*Допущения!$B$74</f>
        <v>22189.44</v>
      </c>
      <c r="O33" s="76" t="n">
        <f aca="false">O13*Допущения!$B$74</f>
        <v>23774.4</v>
      </c>
      <c r="P33" s="76" t="n">
        <f aca="false">P13*Допущения!$B$74</f>
        <v>29527.8048</v>
      </c>
      <c r="Q33" s="76" t="n">
        <f aca="false">Q13*Допущения!$B$74</f>
        <v>31715.0496</v>
      </c>
      <c r="R33" s="76" t="n">
        <f aca="false">R13*Допущения!$B$74</f>
        <v>32428.2816</v>
      </c>
      <c r="S33" s="76" t="n">
        <f aca="false">S13*Допущения!$B$74</f>
        <v>31382.208</v>
      </c>
      <c r="T33" s="76" t="n">
        <f aca="false">T13*Допущения!$B$74</f>
        <v>33284.16</v>
      </c>
      <c r="U33" s="76" t="n">
        <f aca="false">U13*Допущения!$B$74</f>
        <v>35186.112</v>
      </c>
      <c r="V33" s="76" t="n">
        <f aca="false">V13*Допущения!$B$74</f>
        <v>37088.064</v>
      </c>
      <c r="W33" s="76" t="n">
        <f aca="false">W13*Допущения!$B$74</f>
        <v>38990.016</v>
      </c>
      <c r="X33" s="76" t="n">
        <f aca="false">X13*Допущения!$B$74</f>
        <v>40891.968</v>
      </c>
      <c r="Y33" s="76" t="n">
        <f aca="false">Y13*Допущения!$B$74</f>
        <v>42793.92</v>
      </c>
      <c r="Z33" s="76" t="n">
        <f aca="false">Z13*Допущения!$B$74</f>
        <v>44695.872</v>
      </c>
      <c r="AA33" s="76" t="n">
        <f aca="false">AA13*Допущения!$B$74</f>
        <v>46597.824</v>
      </c>
      <c r="AB33" s="76" t="n">
        <f aca="false">AB13*Допущения!$B$74</f>
        <v>55774.7424</v>
      </c>
      <c r="AC33" s="76" t="n">
        <f aca="false">AC13*Допущения!$B$74</f>
        <v>57961.9872</v>
      </c>
      <c r="AD33" s="76" t="n">
        <f aca="false">AD13*Допущения!$B$74</f>
        <v>57534.048</v>
      </c>
      <c r="AE33" s="76" t="n">
        <f aca="false">AE13*Допущения!$B$74</f>
        <v>54205.632</v>
      </c>
      <c r="AF33" s="76" t="n">
        <f aca="false">AF13*Допущения!$B$74</f>
        <v>56107.584</v>
      </c>
      <c r="AG33" s="76" t="n">
        <f aca="false">AG13*Допущения!$B$74</f>
        <v>58009.536</v>
      </c>
      <c r="AH33" s="76" t="n">
        <f aca="false">AH13*Допущения!$B$74</f>
        <v>59911.488</v>
      </c>
      <c r="AI33" s="76" t="n">
        <f aca="false">AI13*Допущения!$B$74</f>
        <v>61813.44</v>
      </c>
      <c r="AJ33" s="76" t="n">
        <f aca="false">AJ13*Допущения!$B$74</f>
        <v>63398.4</v>
      </c>
      <c r="AK33" s="76" t="n">
        <f aca="false">AK13*Допущения!$B$74</f>
        <v>63398.4</v>
      </c>
      <c r="AL33" s="76" t="n">
        <f aca="false">AL13*Допущения!$B$74</f>
        <v>63398.4</v>
      </c>
      <c r="AM33" s="76" t="n">
        <f aca="false">AM13*Допущения!$B$74</f>
        <v>63398.4</v>
      </c>
    </row>
    <row r="34" customFormat="false" ht="15" hidden="false" customHeight="true" outlineLevel="0" collapsed="false">
      <c r="A34" s="16" t="s">
        <v>489</v>
      </c>
      <c r="C34" s="76" t="n">
        <f aca="false">C16*Допущения!$B$81</f>
        <v>0</v>
      </c>
      <c r="D34" s="76" t="n">
        <f aca="false">D16*Допущения!$B$81</f>
        <v>0</v>
      </c>
      <c r="E34" s="76" t="n">
        <f aca="false">E16*Допущения!$B$81</f>
        <v>5255.6955</v>
      </c>
      <c r="F34" s="76" t="n">
        <f aca="false">F16*Допущения!$B$81</f>
        <v>19063.84095</v>
      </c>
      <c r="G34" s="76" t="n">
        <f aca="false">G16*Допущения!$B$81</f>
        <v>33610.068855</v>
      </c>
      <c r="H34" s="76" t="n">
        <f aca="false">H16*Допущения!$B$81</f>
        <v>52933.7239695</v>
      </c>
      <c r="I34" s="76" t="n">
        <f aca="false">I16*Допущения!$B$81</f>
        <v>73565.67957255</v>
      </c>
      <c r="J34" s="76" t="n">
        <f aca="false">J16*Допущения!$B$81</f>
        <v>95375.105615295</v>
      </c>
      <c r="K34" s="76" t="n">
        <f aca="false">K16*Допущения!$B$81</f>
        <v>118244.255053766</v>
      </c>
      <c r="L34" s="76" t="n">
        <f aca="false">L16*Допущения!$B$81</f>
        <v>142067.155548389</v>
      </c>
      <c r="M34" s="76" t="n">
        <f aca="false">M16*Допущения!$B$81</f>
        <v>166748.43199355</v>
      </c>
      <c r="N34" s="76" t="n">
        <f aca="false">N16*Допущения!$B$81</f>
        <v>192202.246794195</v>
      </c>
      <c r="O34" s="76" t="n">
        <f aca="false">O16*Допущения!$B$81</f>
        <v>218351.346114776</v>
      </c>
      <c r="P34" s="76" t="n">
        <f aca="false">P16*Допущения!$B$81</f>
        <v>245126.201503298</v>
      </c>
      <c r="Q34" s="76" t="n">
        <f aca="false">Q16*Допущения!$B$81</f>
        <v>280987.188932968</v>
      </c>
      <c r="R34" s="76" t="n">
        <f aca="false">R16*Допущения!$B$81</f>
        <v>317734.196699671</v>
      </c>
      <c r="S34" s="76" t="n">
        <f aca="false">S16*Допущения!$B$81</f>
        <v>352264.803389704</v>
      </c>
      <c r="T34" s="76" t="n">
        <f aca="false">T16*Допущения!$B$81</f>
        <v>381203.509850734</v>
      </c>
      <c r="U34" s="76" t="n">
        <f aca="false">U16*Допущения!$B$81</f>
        <v>411137.144865661</v>
      </c>
      <c r="V34" s="76" t="n">
        <f aca="false">V16*Допущения!$B$81</f>
        <v>441966.215579095</v>
      </c>
      <c r="W34" s="76" t="n">
        <f aca="false">W16*Допущения!$B$81</f>
        <v>473601.178421185</v>
      </c>
      <c r="X34" s="76" t="n">
        <f aca="false">X16*Допущения!$B$81</f>
        <v>505961.444179066</v>
      </c>
      <c r="Y34" s="76" t="n">
        <f aca="false">Y16*Допущения!$B$81</f>
        <v>538974.48256116</v>
      </c>
      <c r="Z34" s="76" t="n">
        <f aca="false">Z16*Допущения!$B$81</f>
        <v>572575.016305044</v>
      </c>
      <c r="AA34" s="76" t="n">
        <f aca="false">AA16*Допущения!$B$81</f>
        <v>606704.295874539</v>
      </c>
      <c r="AB34" s="76" t="n">
        <f aca="false">AB16*Допущения!$B$81</f>
        <v>641309.446687086</v>
      </c>
      <c r="AC34" s="76" t="n">
        <f aca="false">AC16*Допущения!$B$81</f>
        <v>691217.538558377</v>
      </c>
      <c r="AD34" s="76" t="n">
        <f aca="false">AD16*Допущения!$B$81</f>
        <v>740606.94032254</v>
      </c>
      <c r="AE34" s="76" t="n">
        <f aca="false">AE16*Допущения!$B$81</f>
        <v>784182.422090286</v>
      </c>
      <c r="AF34" s="76" t="n">
        <f aca="false">AF16*Допущения!$B$81</f>
        <v>816594.957081257</v>
      </c>
      <c r="AG34" s="76" t="n">
        <f aca="false">AG16*Допущения!$B$81</f>
        <v>849655.037773131</v>
      </c>
      <c r="AH34" s="76" t="n">
        <f aca="false">AH16*Допущения!$B$81</f>
        <v>883297.909595818</v>
      </c>
      <c r="AI34" s="76" t="n">
        <f aca="false">AI16*Допущения!$B$81</f>
        <v>917465.293436236</v>
      </c>
      <c r="AJ34" s="76" t="n">
        <f aca="false">AJ16*Допущения!$B$81</f>
        <v>952104.738092613</v>
      </c>
      <c r="AK34" s="76" t="n">
        <f aca="false">AK16*Допущения!$B$81</f>
        <v>986520.904283351</v>
      </c>
      <c r="AL34" s="76" t="n">
        <f aca="false">AL16*Допущения!$B$81</f>
        <v>1017495.45385502</v>
      </c>
      <c r="AM34" s="76" t="n">
        <f aca="false">AM16*Допущения!$B$81</f>
        <v>1045372.54846951</v>
      </c>
    </row>
    <row r="35" customFormat="false" ht="15" hidden="false" customHeight="true" outlineLevel="0" collapsed="false">
      <c r="A35" s="16" t="s">
        <v>490</v>
      </c>
      <c r="C35" s="76" t="n">
        <f aca="false">C18*Допущения!$B$83</f>
        <v>0</v>
      </c>
      <c r="D35" s="76" t="n">
        <f aca="false">D18*Допущения!$B$83</f>
        <v>0</v>
      </c>
      <c r="E35" s="76" t="n">
        <f aca="false">E18*Допущения!$B$83</f>
        <v>0</v>
      </c>
      <c r="F35" s="76" t="n">
        <f aca="false">F18*Допущения!$B$83</f>
        <v>0</v>
      </c>
      <c r="G35" s="76" t="n">
        <f aca="false">G18*Допущения!$B$83</f>
        <v>0</v>
      </c>
      <c r="H35" s="76" t="n">
        <f aca="false">H18*Допущения!$B$83</f>
        <v>20793.6</v>
      </c>
      <c r="I35" s="76" t="n">
        <f aca="false">I18*Допущения!$B$83</f>
        <v>38121.6</v>
      </c>
      <c r="J35" s="76" t="n">
        <f aca="false">J18*Допущения!$B$83</f>
        <v>55449.6</v>
      </c>
      <c r="K35" s="76" t="n">
        <f aca="false">K18*Допущения!$B$83</f>
        <v>72777.6</v>
      </c>
      <c r="L35" s="76" t="n">
        <f aca="false">L18*Допущения!$B$83</f>
        <v>90105.6</v>
      </c>
      <c r="M35" s="76" t="n">
        <f aca="false">M18*Допущения!$B$83</f>
        <v>107433.6</v>
      </c>
      <c r="N35" s="76" t="n">
        <f aca="false">N18*Допущения!$B$83</f>
        <v>124761.6</v>
      </c>
      <c r="O35" s="76" t="n">
        <f aca="false">O18*Допущения!$B$83</f>
        <v>130999.68</v>
      </c>
      <c r="P35" s="76" t="n">
        <f aca="false">P18*Допущения!$B$83</f>
        <v>137237.76</v>
      </c>
      <c r="Q35" s="76" t="n">
        <f aca="false">Q18*Допущения!$B$83</f>
        <v>143475.84</v>
      </c>
      <c r="R35" s="76" t="n">
        <f aca="false">R18*Допущения!$B$83</f>
        <v>149713.92</v>
      </c>
      <c r="S35" s="76" t="n">
        <f aca="false">S18*Допущения!$B$83</f>
        <v>155952</v>
      </c>
      <c r="T35" s="76" t="n">
        <f aca="false">T18*Допущения!$B$83</f>
        <v>162190.08</v>
      </c>
      <c r="U35" s="76" t="n">
        <f aca="false">U18*Допущения!$B$83</f>
        <v>168428.16</v>
      </c>
      <c r="V35" s="76" t="n">
        <f aca="false">V18*Допущения!$B$83</f>
        <v>174666.24</v>
      </c>
      <c r="W35" s="76" t="n">
        <f aca="false">W18*Допущения!$B$83</f>
        <v>180904.32</v>
      </c>
      <c r="X35" s="76" t="n">
        <f aca="false">X18*Допущения!$B$83</f>
        <v>187142.4</v>
      </c>
      <c r="Y35" s="76" t="n">
        <f aca="false">Y18*Допущения!$B$83</f>
        <v>193380.48</v>
      </c>
      <c r="Z35" s="76" t="n">
        <f aca="false">Z18*Допущения!$B$83</f>
        <v>199618.56</v>
      </c>
      <c r="AA35" s="76" t="n">
        <f aca="false">AA18*Допущения!$B$83</f>
        <v>205856.64</v>
      </c>
      <c r="AB35" s="76" t="n">
        <f aca="false">AB18*Допущения!$B$83</f>
        <v>212094.72</v>
      </c>
      <c r="AC35" s="76" t="n">
        <f aca="false">AC18*Допущения!$B$83</f>
        <v>218332.8</v>
      </c>
      <c r="AD35" s="76" t="n">
        <f aca="false">AD18*Допущения!$B$83</f>
        <v>224570.88</v>
      </c>
      <c r="AE35" s="76" t="n">
        <f aca="false">AE18*Допущения!$B$83</f>
        <v>230808.96</v>
      </c>
      <c r="AF35" s="76" t="n">
        <f aca="false">AF18*Допущения!$B$83</f>
        <v>237047.04</v>
      </c>
      <c r="AG35" s="76" t="n">
        <f aca="false">AG18*Допущения!$B$83</f>
        <v>243285.12</v>
      </c>
      <c r="AH35" s="76" t="n">
        <f aca="false">AH18*Допущения!$B$83</f>
        <v>249523.2</v>
      </c>
      <c r="AI35" s="76" t="n">
        <f aca="false">AI18*Допущения!$B$83</f>
        <v>255761.28</v>
      </c>
      <c r="AJ35" s="76" t="n">
        <f aca="false">AJ18*Допущения!$B$83</f>
        <v>261999.36</v>
      </c>
      <c r="AK35" s="76" t="n">
        <f aca="false">AK18*Допущения!$B$83</f>
        <v>268237.44</v>
      </c>
      <c r="AL35" s="76" t="n">
        <f aca="false">AL18*Допущения!$B$83</f>
        <v>274475.52</v>
      </c>
      <c r="AM35" s="76" t="n">
        <f aca="false">AM18*Допущения!$B$83</f>
        <v>280713.6</v>
      </c>
    </row>
    <row r="36" customFormat="false" ht="15" hidden="false" customHeight="true" outlineLevel="0" collapsed="false">
      <c r="A36" s="27" t="s">
        <v>40</v>
      </c>
      <c r="C36" s="32" t="n">
        <f aca="false">SUM(C32:C35)</f>
        <v>0</v>
      </c>
      <c r="D36" s="32" t="n">
        <f aca="false">SUM(D32:D35)</f>
        <v>28275.28</v>
      </c>
      <c r="E36" s="32" t="n">
        <f aca="false">SUM(E32:E35)</f>
        <v>82370.0955</v>
      </c>
      <c r="F36" s="32" t="n">
        <f aca="false">SUM(F32:F35)</f>
        <v>107577.76095</v>
      </c>
      <c r="G36" s="32" t="n">
        <f aca="false">SUM(G32:G35)</f>
        <v>155651.988855</v>
      </c>
      <c r="H36" s="32" t="n">
        <f aca="false">SUM(H32:H35)</f>
        <v>213203.8039695</v>
      </c>
      <c r="I36" s="32" t="n">
        <f aca="false">SUM(I32:I35)</f>
        <v>268598.31957255</v>
      </c>
      <c r="J36" s="32" t="n">
        <f aca="false">SUM(J32:J35)</f>
        <v>325170.305615295</v>
      </c>
      <c r="K36" s="32" t="n">
        <f aca="false">SUM(K32:K35)</f>
        <v>382802.015053766</v>
      </c>
      <c r="L36" s="32" t="n">
        <f aca="false">SUM(L32:L35)</f>
        <v>441387.475548389</v>
      </c>
      <c r="M36" s="32" t="n">
        <f aca="false">SUM(M32:M35)</f>
        <v>500831.31199355</v>
      </c>
      <c r="N36" s="32" t="n">
        <f aca="false">SUM(N32:N35)</f>
        <v>561047.686794195</v>
      </c>
      <c r="O36" s="32" t="n">
        <f aca="false">SUM(O32:O35)</f>
        <v>610869.426114776</v>
      </c>
      <c r="P36" s="32" t="n">
        <f aca="false">SUM(P32:P35)</f>
        <v>707169.814303298</v>
      </c>
      <c r="Q36" s="32" t="n">
        <f aca="false">SUM(Q32:Q35)</f>
        <v>773328.574532968</v>
      </c>
      <c r="R36" s="32" t="n">
        <f aca="false">SUM(R32:R35)</f>
        <v>824159.214299671</v>
      </c>
      <c r="S36" s="32" t="n">
        <f aca="false">SUM(S32:S35)</f>
        <v>853421.091389704</v>
      </c>
      <c r="T36" s="32" t="n">
        <f aca="false">SUM(T32:T35)</f>
        <v>909519.349850734</v>
      </c>
      <c r="U36" s="32" t="n">
        <f aca="false">SUM(U32:U35)</f>
        <v>966612.536865661</v>
      </c>
      <c r="V36" s="32" t="n">
        <f aca="false">SUM(V32:V35)</f>
        <v>1024601.15957909</v>
      </c>
      <c r="W36" s="32" t="n">
        <f aca="false">SUM(W32:W35)</f>
        <v>1083395.67442119</v>
      </c>
      <c r="X36" s="32" t="n">
        <f aca="false">SUM(X32:X35)</f>
        <v>1142915.49217907</v>
      </c>
      <c r="Y36" s="32" t="n">
        <f aca="false">SUM(Y32:Y35)</f>
        <v>1203088.08256116</v>
      </c>
      <c r="Z36" s="32" t="n">
        <f aca="false">SUM(Z32:Z35)</f>
        <v>1263848.16830504</v>
      </c>
      <c r="AA36" s="32" t="n">
        <f aca="false">SUM(AA32:AA35)</f>
        <v>1325136.99987454</v>
      </c>
      <c r="AB36" s="32" t="n">
        <f aca="false">SUM(AB32:AB35)</f>
        <v>1466926.33308709</v>
      </c>
      <c r="AC36" s="32" t="n">
        <f aca="false">SUM(AC32:AC35)</f>
        <v>1547132.19775838</v>
      </c>
      <c r="AD36" s="32" t="n">
        <f aca="false">SUM(AD32:AD35)</f>
        <v>1598052.34832254</v>
      </c>
      <c r="AE36" s="32" t="n">
        <f aca="false">SUM(AE32:AE35)</f>
        <v>1611253.33409029</v>
      </c>
      <c r="AF36" s="32" t="n">
        <f aca="false">SUM(AF32:AF35)</f>
        <v>1670825.42108126</v>
      </c>
      <c r="AG36" s="32" t="n">
        <f aca="false">SUM(AG32:AG35)</f>
        <v>1731045.05377313</v>
      </c>
      <c r="AH36" s="32" t="n">
        <f aca="false">SUM(AH32:AH35)</f>
        <v>1791847.47759582</v>
      </c>
      <c r="AI36" s="32" t="n">
        <f aca="false">SUM(AI32:AI35)</f>
        <v>1853174.41343624</v>
      </c>
      <c r="AJ36" s="32" t="n">
        <f aca="false">SUM(AJ32:AJ35)</f>
        <v>1911486.49809261</v>
      </c>
      <c r="AK36" s="32" t="n">
        <f aca="false">SUM(AK32:AK35)</f>
        <v>1952140.74428335</v>
      </c>
      <c r="AL36" s="32" t="n">
        <f aca="false">SUM(AL32:AL35)</f>
        <v>1989353.37385502</v>
      </c>
      <c r="AM36" s="32" t="n">
        <f aca="false">SUM(AM32:AM35)</f>
        <v>2023468.54846951</v>
      </c>
    </row>
    <row r="37" customFormat="false" ht="15" hidden="false" customHeight="true" outlineLevel="0" collapsed="false">
      <c r="A37" s="29" t="s">
        <v>491</v>
      </c>
    </row>
    <row r="38" customFormat="false" ht="15" hidden="false" customHeight="true" outlineLevel="0" collapsed="false">
      <c r="A38" s="16" t="s">
        <v>41</v>
      </c>
      <c r="C38" s="76" t="n">
        <f aca="false">C21*C27+C22*C28+C23*C29+C24*C30</f>
        <v>0</v>
      </c>
      <c r="D38" s="76" t="n">
        <f aca="false">D21*D27+D22*D28+D23*D29+D24*D30</f>
        <v>6547.17448</v>
      </c>
      <c r="E38" s="76" t="n">
        <f aca="false">E21*E27+E22*E28+E23*E29+E24*E30</f>
        <v>18032.78499</v>
      </c>
      <c r="F38" s="76" t="n">
        <f aca="false">F21*F27+F22*F28+F23*F29+F24*F30</f>
        <v>23437.154961</v>
      </c>
      <c r="G38" s="76" t="n">
        <f aca="false">G21*G27+G22*G28+G23*G29+G24*G30</f>
        <v>34007.579171775</v>
      </c>
      <c r="H38" s="76" t="n">
        <f aca="false">H21*H27+H22*H28+H23*H29+H24*H30</f>
        <v>45620.24856061</v>
      </c>
      <c r="I38" s="76" t="n">
        <f aca="false">I21*I27+I22*I28+I23*I29+I24*I30</f>
        <v>56920.354569199</v>
      </c>
      <c r="J38" s="76" t="n">
        <f aca="false">J21*J27+J22*J28+J23*J29+J24*J30</f>
        <v>68924.4758562791</v>
      </c>
      <c r="K38" s="76" t="n">
        <f aca="false">K21*K27+K22*K28+K23*K29+K24*K30</f>
        <v>80209.8056161092</v>
      </c>
      <c r="L38" s="76" t="n">
        <f aca="false">L21*L27+L22*L28+L23*L29+L24*L30</f>
        <v>92531.2722604983</v>
      </c>
      <c r="M38" s="76" t="n">
        <f aca="false">M21*M27+M22*M28+M23*M29+M24*M30</f>
        <v>103001.578868894</v>
      </c>
      <c r="N38" s="76" t="n">
        <f aca="false">N21*N27+N22*N28+N23*N29+N24*N30</f>
        <v>113527.000187383</v>
      </c>
      <c r="O38" s="76" t="n">
        <f aca="false">O21*O27+O22*O28+O23*O29+O24*O30</f>
        <v>123881.309412645</v>
      </c>
      <c r="P38" s="76" t="n">
        <f aca="false">P21*P27+P22*P28+P23*P29+P24*P30</f>
        <v>143426.14759018</v>
      </c>
      <c r="Q38" s="76" t="n">
        <f aca="false">Q21*Q27+Q22*Q28+Q23*Q29+Q24*Q30</f>
        <v>152441.220650116</v>
      </c>
      <c r="R38" s="76" t="n">
        <f aca="false">R21*R27+R22*R28+R23*R29+R24*R30</f>
        <v>162899.438682164</v>
      </c>
      <c r="S38" s="76" t="n">
        <f aca="false">S21*S27+S22*S28+S23*S29+S24*S30</f>
        <v>169182.399085108</v>
      </c>
      <c r="T38" s="76" t="n">
        <f aca="false">T21*T27+T22*T28+T23*T29+T24*T30</f>
        <v>178566.7861311</v>
      </c>
      <c r="U38" s="76" t="n">
        <f aca="false">U21*U27+U22*U28+U23*U29+U24*U30</f>
        <v>189954.87934599</v>
      </c>
      <c r="V38" s="76" t="n">
        <f aca="false">V21*V27+V22*V28+V23*V29+V24*V30</f>
        <v>199948.378422762</v>
      </c>
      <c r="W38" s="76" t="n">
        <f aca="false">W21*W27+W22*W28+W23*W29+W24*W30</f>
        <v>211601.486578886</v>
      </c>
      <c r="X38" s="76" t="n">
        <f aca="false">X21*X27+X22*X28+X23*X29+X24*X30</f>
        <v>223406.464754597</v>
      </c>
      <c r="Y38" s="76" t="n">
        <f aca="false">Y21*Y27+Y22*Y28+Y23*Y29+Y24*Y30</f>
        <v>235348.125947937</v>
      </c>
      <c r="Z38" s="76" t="n">
        <f aca="false">Z21*Z27+Z22*Z28+Z23*Z29+Z24*Z30</f>
        <v>247412.801857144</v>
      </c>
      <c r="AA38" s="76" t="n">
        <f aca="false">AA21*AA27+AA22*AA28+AA23*AA29+AA24*AA30</f>
        <v>259588.191010629</v>
      </c>
      <c r="AB38" s="76" t="n">
        <f aca="false">AB21*AB27+AB22*AB28+AB23*AB29+AB24*AB30</f>
        <v>285244.230432451</v>
      </c>
      <c r="AC38" s="76" t="n">
        <f aca="false">AC21*AC27+AC22*AC28+AC23*AC29+AC24*AC30</f>
        <v>301218.624735046</v>
      </c>
      <c r="AD38" s="76" t="n">
        <f aca="false">AD21*AD27+AD22*AD28+AD23*AD29+AD24*AD30</f>
        <v>311711.186577461</v>
      </c>
      <c r="AE38" s="76" t="n">
        <f aca="false">AE21*AE27+AE22*AE28+AE23*AE29+AE24*AE30</f>
        <v>315033.643784515</v>
      </c>
      <c r="AF38" s="76" t="n">
        <f aca="false">AF21*AF27+AF22*AF28+AF23*AF29+AF24*AF30</f>
        <v>326780.663705264</v>
      </c>
      <c r="AG38" s="76" t="n">
        <f aca="false">AG21*AG27+AG22*AG28+AG23*AG29+AG24*AG30</f>
        <v>338662.449253137</v>
      </c>
      <c r="AH38" s="76" t="n">
        <f aca="false">AH21*AH27+AH22*AH28+AH23*AH29+AH24*AH30</f>
        <v>349134.054703045</v>
      </c>
      <c r="AI38" s="76" t="n">
        <f aca="false">AI21*AI27+AI22*AI28+AI23*AI29+AI24*AI30</f>
        <v>361192.93974154</v>
      </c>
      <c r="AJ38" s="76" t="n">
        <f aca="false">AJ21*AJ27+AJ22*AJ28+AJ23*AJ29+AJ24*AJ30</f>
        <v>372701.019031386</v>
      </c>
      <c r="AK38" s="76" t="n">
        <f aca="false">AK21*AK27+AK22*AK28+AK23*AK29+AK24*AK30</f>
        <v>380919.843208248</v>
      </c>
      <c r="AL38" s="76" t="n">
        <f aca="false">AL21*AL27+AL22*AL28+AL23*AL29+AL24*AL30</f>
        <v>387675.190953255</v>
      </c>
      <c r="AM38" s="76" t="n">
        <f aca="false">AM21*AM27+AM22*AM28+AM23*AM29+AM24*AM30</f>
        <v>394527.530177929</v>
      </c>
    </row>
    <row r="39" customFormat="false" ht="15" hidden="false" customHeight="true" outlineLevel="0" collapsed="false">
      <c r="A39" s="16" t="s">
        <v>42</v>
      </c>
      <c r="C39" s="76" t="n">
        <f aca="false">Допущения!$B$26*C32</f>
        <v>0</v>
      </c>
      <c r="D39" s="76" t="n">
        <f aca="false">Допущения!$B$26*D32</f>
        <v>2056.384</v>
      </c>
      <c r="E39" s="76" t="n">
        <f aca="false">Допущения!$B$26*E32</f>
        <v>5608.32</v>
      </c>
      <c r="F39" s="76" t="n">
        <f aca="false">Допущения!$B$26*F32</f>
        <v>6437.376</v>
      </c>
      <c r="G39" s="76" t="n">
        <f aca="false">Допущения!$B$26*G32</f>
        <v>8875.776</v>
      </c>
      <c r="H39" s="76" t="n">
        <f aca="false">Допущения!$B$26*H32</f>
        <v>10143.744</v>
      </c>
      <c r="I39" s="76" t="n">
        <f aca="false">Допущения!$B$26*I32</f>
        <v>11411.712</v>
      </c>
      <c r="J39" s="76" t="n">
        <f aca="false">Допущения!$B$26*J32</f>
        <v>12679.68</v>
      </c>
      <c r="K39" s="76" t="n">
        <f aca="false">Допущения!$B$26*K32</f>
        <v>13947.648</v>
      </c>
      <c r="L39" s="76" t="n">
        <f aca="false">Допущения!$B$26*L32</f>
        <v>15215.616</v>
      </c>
      <c r="M39" s="76" t="n">
        <f aca="false">Допущения!$B$26*M32</f>
        <v>16483.584</v>
      </c>
      <c r="N39" s="76" t="n">
        <f aca="false">Допущения!$B$26*N32</f>
        <v>17751.552</v>
      </c>
      <c r="O39" s="76" t="n">
        <f aca="false">Допущения!$B$26*O32</f>
        <v>19019.52</v>
      </c>
      <c r="P39" s="76" t="n">
        <f aca="false">Допущения!$B$26*P32</f>
        <v>23622.24384</v>
      </c>
      <c r="Q39" s="76" t="n">
        <f aca="false">Допущения!$B$26*Q32</f>
        <v>25372.03968</v>
      </c>
      <c r="R39" s="76" t="n">
        <f aca="false">Допущения!$B$26*R32</f>
        <v>25942.62528</v>
      </c>
      <c r="S39" s="76" t="n">
        <f aca="false">Допущения!$B$26*S32</f>
        <v>25105.7664</v>
      </c>
      <c r="T39" s="76" t="n">
        <f aca="false">Допущения!$B$26*T32</f>
        <v>26627.328</v>
      </c>
      <c r="U39" s="76" t="n">
        <f aca="false">Допущения!$B$26*U32</f>
        <v>28148.8896</v>
      </c>
      <c r="V39" s="76" t="n">
        <f aca="false">Допущения!$B$26*V32</f>
        <v>29670.4512</v>
      </c>
      <c r="W39" s="76" t="n">
        <f aca="false">Допущения!$B$26*W32</f>
        <v>31192.0128</v>
      </c>
      <c r="X39" s="76" t="n">
        <f aca="false">Допущения!$B$26*X32</f>
        <v>32713.5744</v>
      </c>
      <c r="Y39" s="76" t="n">
        <f aca="false">Допущения!$B$26*Y32</f>
        <v>34235.136</v>
      </c>
      <c r="Z39" s="76" t="n">
        <f aca="false">Допущения!$B$26*Z32</f>
        <v>35756.6976</v>
      </c>
      <c r="AA39" s="76" t="n">
        <f aca="false">Допущения!$B$26*AA32</f>
        <v>37278.2592</v>
      </c>
      <c r="AB39" s="76" t="n">
        <f aca="false">Допущения!$B$26*AB32</f>
        <v>44619.79392</v>
      </c>
      <c r="AC39" s="76" t="n">
        <f aca="false">Допущения!$B$26*AC32</f>
        <v>46369.58976</v>
      </c>
      <c r="AD39" s="76" t="n">
        <f aca="false">Допущения!$B$26*AD32</f>
        <v>46027.2384</v>
      </c>
      <c r="AE39" s="76" t="n">
        <f aca="false">Допущения!$B$26*AE32</f>
        <v>43364.5056</v>
      </c>
      <c r="AF39" s="76" t="n">
        <f aca="false">Допущения!$B$26*AF32</f>
        <v>44886.0672</v>
      </c>
      <c r="AG39" s="76" t="n">
        <f aca="false">Допущения!$B$26*AG32</f>
        <v>46407.6288</v>
      </c>
      <c r="AH39" s="76" t="n">
        <f aca="false">Допущения!$B$26*AH32</f>
        <v>47929.1904</v>
      </c>
      <c r="AI39" s="76" t="n">
        <f aca="false">Допущения!$B$26*AI32</f>
        <v>49450.752</v>
      </c>
      <c r="AJ39" s="76" t="n">
        <f aca="false">Допущения!$B$26*AJ32</f>
        <v>50718.72</v>
      </c>
      <c r="AK39" s="76" t="n">
        <f aca="false">Допущения!$B$26*AK32</f>
        <v>50718.72</v>
      </c>
      <c r="AL39" s="76" t="n">
        <f aca="false">Допущения!$B$26*AL32</f>
        <v>50718.72</v>
      </c>
      <c r="AM39" s="76" t="n">
        <f aca="false">Допущения!$B$26*AM32</f>
        <v>50718.72</v>
      </c>
    </row>
    <row r="40" customFormat="false" ht="15" hidden="false" customHeight="true" outlineLevel="0" collapsed="false">
      <c r="A40" s="16" t="s">
        <v>43</v>
      </c>
      <c r="C40" s="76" t="n">
        <f aca="false">Допущения!$B$29*C32</f>
        <v>0</v>
      </c>
      <c r="D40" s="76" t="n">
        <f aca="false">Допущения!$B$29*D32</f>
        <v>7711.44000000001</v>
      </c>
      <c r="E40" s="76" t="n">
        <f aca="false">Допущения!$B$29*E32</f>
        <v>21031.2</v>
      </c>
      <c r="F40" s="76" t="n">
        <f aca="false">Допущения!$B$29*F32</f>
        <v>24140.16</v>
      </c>
      <c r="G40" s="76" t="n">
        <f aca="false">Допущения!$B$29*G32</f>
        <v>33284.16</v>
      </c>
      <c r="H40" s="76" t="n">
        <f aca="false">Допущения!$B$29*H32</f>
        <v>38039.04</v>
      </c>
      <c r="I40" s="76" t="n">
        <f aca="false">Допущения!$B$29*I32</f>
        <v>42793.92</v>
      </c>
      <c r="J40" s="76" t="n">
        <f aca="false">Допущения!$B$29*J32</f>
        <v>47548.8</v>
      </c>
      <c r="K40" s="76" t="n">
        <f aca="false">Допущения!$B$29*K32</f>
        <v>52303.68</v>
      </c>
      <c r="L40" s="76" t="n">
        <f aca="false">Допущения!$B$29*L32</f>
        <v>57058.56</v>
      </c>
      <c r="M40" s="76" t="n">
        <f aca="false">Допущения!$B$29*M32</f>
        <v>61813.44</v>
      </c>
      <c r="N40" s="76" t="n">
        <f aca="false">Допущения!$B$29*N32</f>
        <v>66568.32</v>
      </c>
      <c r="O40" s="76" t="n">
        <f aca="false">Допущения!$B$29*O32</f>
        <v>71323.2</v>
      </c>
      <c r="P40" s="76" t="n">
        <f aca="false">Допущения!$B$29*P32</f>
        <v>88583.4144</v>
      </c>
      <c r="Q40" s="76" t="n">
        <f aca="false">Допущения!$B$29*Q32</f>
        <v>95145.1488</v>
      </c>
      <c r="R40" s="76" t="n">
        <f aca="false">Допущения!$B$29*R32</f>
        <v>97284.8448</v>
      </c>
      <c r="S40" s="76" t="n">
        <f aca="false">Допущения!$B$29*S32</f>
        <v>94146.624</v>
      </c>
      <c r="T40" s="76" t="n">
        <f aca="false">Допущения!$B$29*T32</f>
        <v>99852.48</v>
      </c>
      <c r="U40" s="76" t="n">
        <f aca="false">Допущения!$B$29*U32</f>
        <v>105558.336</v>
      </c>
      <c r="V40" s="76" t="n">
        <f aca="false">Допущения!$B$29*V32</f>
        <v>111264.192</v>
      </c>
      <c r="W40" s="76" t="n">
        <f aca="false">Допущения!$B$29*W32</f>
        <v>116970.048</v>
      </c>
      <c r="X40" s="76" t="n">
        <f aca="false">Допущения!$B$29*X32</f>
        <v>122675.904</v>
      </c>
      <c r="Y40" s="76" t="n">
        <f aca="false">Допущения!$B$29*Y32</f>
        <v>128381.76</v>
      </c>
      <c r="Z40" s="76" t="n">
        <f aca="false">Допущения!$B$29*Z32</f>
        <v>134087.616</v>
      </c>
      <c r="AA40" s="76" t="n">
        <f aca="false">Допущения!$B$29*AA32</f>
        <v>139793.472</v>
      </c>
      <c r="AB40" s="76" t="n">
        <f aca="false">Допущения!$B$29*AB32</f>
        <v>167324.2272</v>
      </c>
      <c r="AC40" s="76" t="n">
        <f aca="false">Допущения!$B$29*AC32</f>
        <v>173885.9616</v>
      </c>
      <c r="AD40" s="76" t="n">
        <f aca="false">Допущения!$B$29*AD32</f>
        <v>172602.144</v>
      </c>
      <c r="AE40" s="76" t="n">
        <f aca="false">Допущения!$B$29*AE32</f>
        <v>162616.896</v>
      </c>
      <c r="AF40" s="76" t="n">
        <f aca="false">Допущения!$B$29*AF32</f>
        <v>168322.752</v>
      </c>
      <c r="AG40" s="76" t="n">
        <f aca="false">Допущения!$B$29*AG32</f>
        <v>174028.608</v>
      </c>
      <c r="AH40" s="76" t="n">
        <f aca="false">Допущения!$B$29*AH32</f>
        <v>179734.464</v>
      </c>
      <c r="AI40" s="76" t="n">
        <f aca="false">Допущения!$B$29*AI32</f>
        <v>185440.32</v>
      </c>
      <c r="AJ40" s="76" t="n">
        <f aca="false">Допущения!$B$29*AJ32</f>
        <v>190195.2</v>
      </c>
      <c r="AK40" s="76" t="n">
        <f aca="false">Допущения!$B$29*AK32</f>
        <v>190195.2</v>
      </c>
      <c r="AL40" s="76" t="n">
        <f aca="false">Допущения!$B$29*AL32</f>
        <v>190195.2</v>
      </c>
      <c r="AM40" s="76" t="n">
        <f aca="false">Допущения!$B$29*AM32</f>
        <v>190195.2</v>
      </c>
    </row>
    <row r="41" customFormat="false" ht="15" hidden="false" customHeight="true" outlineLevel="0" collapsed="false">
      <c r="A41" s="16" t="s">
        <v>44</v>
      </c>
      <c r="C41" s="76" t="n">
        <f aca="false">Допущения!$B$31*(C33+C34)+Допущения!$B$32*(C13+C16)</f>
        <v>0</v>
      </c>
      <c r="D41" s="76" t="n">
        <f aca="false">Допущения!$B$31*(D33+D34)+Допущения!$B$32*(D13+D16)</f>
        <v>89.7239200000001</v>
      </c>
      <c r="E41" s="76" t="n">
        <f aca="false">Допущения!$B$31*(E33+E34)+Допущения!$B$32*(E13+E16)</f>
        <v>422.1637695</v>
      </c>
      <c r="F41" s="76" t="n">
        <f aca="false">Допущения!$B$31*(F33+F34)+Допущения!$B$32*(F13+F16)</f>
        <v>924.57856755</v>
      </c>
      <c r="G41" s="76" t="n">
        <f aca="false">Допущения!$B$31*(G33+G34)+Допущения!$B$32*(G13+G16)</f>
        <v>1522.133946795</v>
      </c>
      <c r="H41" s="76" t="n">
        <f aca="false">Допущения!$B$31*(H33+H34)+Допущения!$B$32*(H13+H16)</f>
        <v>2229.9342781155</v>
      </c>
      <c r="I41" s="76" t="n">
        <f aca="false">Допущения!$B$31*(I33+I34)+Допущения!$B$32*(I13+I16)</f>
        <v>2981.91027430395</v>
      </c>
      <c r="J41" s="76" t="n">
        <f aca="false">Допущения!$B$31*(J33+J34)+Допущения!$B$32*(J13+J16)</f>
        <v>3773.64436887356</v>
      </c>
      <c r="K41" s="76" t="n">
        <f aca="false">Допущения!$B$31*(K33+K34)+Допущения!$B$32*(K13+K16)</f>
        <v>4601.1607519862</v>
      </c>
      <c r="L41" s="76" t="n">
        <f aca="false">Допущения!$B$31*(L33+L34)+Допущения!$B$32*(L13+L16)</f>
        <v>5460.88119478758</v>
      </c>
      <c r="M41" s="76" t="n">
        <f aca="false">Допущения!$B$31*(M33+M34)+Допущения!$B$32*(M13+M16)</f>
        <v>6349.58529130882</v>
      </c>
      <c r="N41" s="76" t="n">
        <f aca="false">Допущения!$B$31*(N33+N34)+Допущения!$B$32*(N13+N16)</f>
        <v>7264.37467617794</v>
      </c>
      <c r="O41" s="76" t="n">
        <f aca="false">Допущения!$B$31*(O33+O34)+Допущения!$B$32*(O13+O16)</f>
        <v>8202.64082056015</v>
      </c>
      <c r="P41" s="76" t="n">
        <f aca="false">Допущения!$B$31*(P33+P34)+Допущения!$B$32*(P13+P16)</f>
        <v>9307.53774770413</v>
      </c>
      <c r="Q41" s="76" t="n">
        <f aca="false">Допущения!$B$31*(Q33+Q34)+Допущения!$B$32*(Q13+Q16)</f>
        <v>10594.7555258737</v>
      </c>
      <c r="R41" s="76" t="n">
        <f aca="false">Допущения!$B$31*(R33+R34)+Допущения!$B$32*(R13+R16)</f>
        <v>11860.4392182663</v>
      </c>
      <c r="S41" s="76" t="n">
        <f aca="false">Допущения!$B$31*(S33+S34)+Допущения!$B$32*(S13+S16)</f>
        <v>12989.8751431197</v>
      </c>
      <c r="T41" s="76" t="n">
        <f aca="false">Допущения!$B$31*(T33+T34)+Допущения!$B$32*(T13+T16)</f>
        <v>14033.3990572077</v>
      </c>
      <c r="U41" s="76" t="n">
        <f aca="false">Допущения!$B$31*(U33+U34)+Допущения!$B$32*(U13+U16)</f>
        <v>15110.517417487</v>
      </c>
      <c r="V41" s="76" t="n">
        <f aca="false">Допущения!$B$31*(V33+V34)+Допущения!$B$32*(V13+V16)</f>
        <v>16217.8707793383</v>
      </c>
      <c r="W41" s="76" t="n">
        <f aca="false">Допущения!$B$31*(W33+W34)+Допущения!$B$32*(W13+W16)</f>
        <v>17352.4356426044</v>
      </c>
      <c r="X41" s="76" t="n">
        <f aca="false">Допущения!$B$31*(X33+X34)+Допущения!$B$32*(X13+X16)</f>
        <v>18511.490857144</v>
      </c>
      <c r="Y41" s="76" t="n">
        <f aca="false">Допущения!$B$31*(Y33+Y34)+Допущения!$B$32*(Y13+Y16)</f>
        <v>19692.5873878296</v>
      </c>
      <c r="Z41" s="76" t="n">
        <f aca="false">Допущения!$B$31*(Z33+Z34)+Допущения!$B$32*(Z13+Z16)</f>
        <v>20893.5211030466</v>
      </c>
      <c r="AA41" s="76" t="n">
        <f aca="false">Допущения!$B$31*(AA33+AA34)+Допущения!$B$32*(AA13+AA16)</f>
        <v>22112.308284342</v>
      </c>
      <c r="AB41" s="76" t="n">
        <f aca="false">Допущения!$B$31*(AB33+AB34)+Допущения!$B$32*(AB13+AB16)</f>
        <v>23601.1000107078</v>
      </c>
      <c r="AC41" s="76" t="n">
        <f aca="false">Допущения!$B$31*(AC33+AC34)+Допущения!$B$32*(AC13+AC16)</f>
        <v>25362.627921457</v>
      </c>
      <c r="AD41" s="76" t="n">
        <f aca="false">Допущения!$B$31*(AD33+AD34)+Допущения!$B$32*(AD13+AD16)</f>
        <v>27015.3575683713</v>
      </c>
      <c r="AE41" s="76" t="n">
        <f aca="false">Допущения!$B$31*(AE33+AE34)+Допущения!$B$32*(AE13+AE16)</f>
        <v>28370.5335849342</v>
      </c>
      <c r="AF41" s="76" t="n">
        <f aca="false">Допущения!$B$31*(AF33+AF34)+Допущения!$B$32*(AF13+AF16)</f>
        <v>29531.3537060408</v>
      </c>
      <c r="AG41" s="76" t="n">
        <f aca="false">Допущения!$B$31*(AG33+AG34)+Допущения!$B$32*(AG13+AG16)</f>
        <v>30714.0386526367</v>
      </c>
      <c r="AH41" s="76" t="n">
        <f aca="false">Допущения!$B$31*(AH33+AH34)+Допущения!$B$32*(AH13+AH16)</f>
        <v>31916.401942173</v>
      </c>
      <c r="AI41" s="76" t="n">
        <f aca="false">Допущения!$B$31*(AI33+AI34)+Допущения!$B$32*(AI13+AI16)</f>
        <v>33136.4757403557</v>
      </c>
      <c r="AJ41" s="76" t="n">
        <f aca="false">Допущения!$B$31*(AJ33+AJ34)+Допущения!$B$32*(AJ13+AJ16)</f>
        <v>34361.4242283201</v>
      </c>
      <c r="AK41" s="76" t="n">
        <f aca="false">Допущения!$B$31*(AK33+AK34)+Допущения!$B$32*(AK13+AK16)</f>
        <v>35523.5097254881</v>
      </c>
      <c r="AL41" s="76" t="n">
        <f aca="false">Допущения!$B$31*(AL33+AL34)+Допущения!$B$32*(AL13+AL16)</f>
        <v>36569.3866729393</v>
      </c>
      <c r="AM41" s="76" t="n">
        <f aca="false">Допущения!$B$31*(AM33+AM34)+Допущения!$B$32*(AM13+AM16)</f>
        <v>37510.6759256454</v>
      </c>
    </row>
    <row r="42" customFormat="false" ht="15" hidden="false" customHeight="true" outlineLevel="0" collapsed="false">
      <c r="A42" s="16" t="s">
        <v>45</v>
      </c>
      <c r="C42" s="76" t="n">
        <f aca="false">Допущения!$B$34*C35+C18*Допущения!$B$84</f>
        <v>0</v>
      </c>
      <c r="D42" s="76" t="n">
        <f aca="false">Допущения!$B$34*D35+D18*Допущения!$B$84</f>
        <v>0</v>
      </c>
      <c r="E42" s="76" t="n">
        <f aca="false">Допущения!$B$34*E35+E18*Допущения!$B$84</f>
        <v>0</v>
      </c>
      <c r="F42" s="76" t="n">
        <f aca="false">Допущения!$B$34*F35+F18*Допущения!$B$84</f>
        <v>0</v>
      </c>
      <c r="G42" s="76" t="n">
        <f aca="false">Допущения!$B$34*G35+G18*Допущения!$B$84</f>
        <v>0</v>
      </c>
      <c r="H42" s="76" t="n">
        <f aca="false">Допущения!$B$34*H35+H18*Допущения!$B$84</f>
        <v>6821.76</v>
      </c>
      <c r="I42" s="76" t="n">
        <f aca="false">Допущения!$B$34*I35+I18*Допущения!$B$84</f>
        <v>12506.56</v>
      </c>
      <c r="J42" s="76" t="n">
        <f aca="false">Допущения!$B$34*J35+J18*Допущения!$B$84</f>
        <v>18191.36</v>
      </c>
      <c r="K42" s="76" t="n">
        <f aca="false">Допущения!$B$34*K35+K18*Допущения!$B$84</f>
        <v>23876.16</v>
      </c>
      <c r="L42" s="76" t="n">
        <f aca="false">Допущения!$B$34*L35+L18*Допущения!$B$84</f>
        <v>29560.96</v>
      </c>
      <c r="M42" s="76" t="n">
        <f aca="false">Допущения!$B$34*M35+M18*Допущения!$B$84</f>
        <v>35245.76</v>
      </c>
      <c r="N42" s="76" t="n">
        <f aca="false">Допущения!$B$34*N35+N18*Допущения!$B$84</f>
        <v>40930.56</v>
      </c>
      <c r="O42" s="76" t="n">
        <f aca="false">Допущения!$B$34*O35+O18*Допущения!$B$84</f>
        <v>42977.088</v>
      </c>
      <c r="P42" s="76" t="n">
        <f aca="false">Допущения!$B$34*P35+P18*Допущения!$B$84</f>
        <v>45023.616</v>
      </c>
      <c r="Q42" s="76" t="n">
        <f aca="false">Допущения!$B$34*Q35+Q18*Допущения!$B$84</f>
        <v>47070.144</v>
      </c>
      <c r="R42" s="76" t="n">
        <f aca="false">Допущения!$B$34*R35+R18*Допущения!$B$84</f>
        <v>49116.672</v>
      </c>
      <c r="S42" s="76" t="n">
        <f aca="false">Допущения!$B$34*S35+S18*Допущения!$B$84</f>
        <v>51163.2</v>
      </c>
      <c r="T42" s="76" t="n">
        <f aca="false">Допущения!$B$34*T35+T18*Допущения!$B$84</f>
        <v>53209.728</v>
      </c>
      <c r="U42" s="76" t="n">
        <f aca="false">Допущения!$B$34*U35+U18*Допущения!$B$84</f>
        <v>55256.256</v>
      </c>
      <c r="V42" s="76" t="n">
        <f aca="false">Допущения!$B$34*V35+V18*Допущения!$B$84</f>
        <v>57302.784</v>
      </c>
      <c r="W42" s="76" t="n">
        <f aca="false">Допущения!$B$34*W35+W18*Допущения!$B$84</f>
        <v>59349.312</v>
      </c>
      <c r="X42" s="76" t="n">
        <f aca="false">Допущения!$B$34*X35+X18*Допущения!$B$84</f>
        <v>61395.84</v>
      </c>
      <c r="Y42" s="76" t="n">
        <f aca="false">Допущения!$B$34*Y35+Y18*Допущения!$B$84</f>
        <v>63442.368</v>
      </c>
      <c r="Z42" s="76" t="n">
        <f aca="false">Допущения!$B$34*Z35+Z18*Допущения!$B$84</f>
        <v>65488.896</v>
      </c>
      <c r="AA42" s="76" t="n">
        <f aca="false">Допущения!$B$34*AA35+AA18*Допущения!$B$84</f>
        <v>67535.424</v>
      </c>
      <c r="AB42" s="76" t="n">
        <f aca="false">Допущения!$B$34*AB35+AB18*Допущения!$B$84</f>
        <v>69581.952</v>
      </c>
      <c r="AC42" s="76" t="n">
        <f aca="false">Допущения!$B$34*AC35+AC18*Допущения!$B$84</f>
        <v>71628.48</v>
      </c>
      <c r="AD42" s="76" t="n">
        <f aca="false">Допущения!$B$34*AD35+AD18*Допущения!$B$84</f>
        <v>73675.008</v>
      </c>
      <c r="AE42" s="76" t="n">
        <f aca="false">Допущения!$B$34*AE35+AE18*Допущения!$B$84</f>
        <v>75721.536</v>
      </c>
      <c r="AF42" s="76" t="n">
        <f aca="false">Допущения!$B$34*AF35+AF18*Допущения!$B$84</f>
        <v>77768.064</v>
      </c>
      <c r="AG42" s="76" t="n">
        <f aca="false">Допущения!$B$34*AG35+AG18*Допущения!$B$84</f>
        <v>79814.592</v>
      </c>
      <c r="AH42" s="76" t="n">
        <f aca="false">Допущения!$B$34*AH35+AH18*Допущения!$B$84</f>
        <v>81861.12</v>
      </c>
      <c r="AI42" s="76" t="n">
        <f aca="false">Допущения!$B$34*AI35+AI18*Допущения!$B$84</f>
        <v>83907.648</v>
      </c>
      <c r="AJ42" s="76" t="n">
        <f aca="false">Допущения!$B$34*AJ35+AJ18*Допущения!$B$84</f>
        <v>85954.176</v>
      </c>
      <c r="AK42" s="76" t="n">
        <f aca="false">Допущения!$B$34*AK35+AK18*Допущения!$B$84</f>
        <v>88000.704</v>
      </c>
      <c r="AL42" s="76" t="n">
        <f aca="false">Допущения!$B$34*AL35+AL18*Допущения!$B$84</f>
        <v>90047.232</v>
      </c>
      <c r="AM42" s="76" t="n">
        <f aca="false">Допущения!$B$34*AM35+AM18*Допущения!$B$84</f>
        <v>92093.76</v>
      </c>
    </row>
    <row r="43" customFormat="false" ht="15" hidden="false" customHeight="true" outlineLevel="0" collapsed="false">
      <c r="A43" s="16" t="s">
        <v>46</v>
      </c>
      <c r="C43" s="76" t="n">
        <f aca="false">Допущения!$E$17*C35</f>
        <v>0</v>
      </c>
      <c r="D43" s="76" t="n">
        <f aca="false">Допущения!$E$17*D35</f>
        <v>0</v>
      </c>
      <c r="E43" s="76" t="n">
        <f aca="false">Допущения!$E$17*E35</f>
        <v>0</v>
      </c>
      <c r="F43" s="76" t="n">
        <f aca="false">Допущения!$E$17*F35</f>
        <v>0</v>
      </c>
      <c r="G43" s="76" t="n">
        <f aca="false">Допущения!$E$17*G35</f>
        <v>0</v>
      </c>
      <c r="H43" s="76" t="n">
        <f aca="false">Допущения!$E$17*H35</f>
        <v>3119.04</v>
      </c>
      <c r="I43" s="76" t="n">
        <f aca="false">Допущения!$E$17*I35</f>
        <v>5718.24</v>
      </c>
      <c r="J43" s="76" t="n">
        <f aca="false">Допущения!$E$17*J35</f>
        <v>8317.44</v>
      </c>
      <c r="K43" s="76" t="n">
        <f aca="false">Допущения!$E$17*K35</f>
        <v>10916.64</v>
      </c>
      <c r="L43" s="76" t="n">
        <f aca="false">Допущения!$E$17*L35</f>
        <v>13515.84</v>
      </c>
      <c r="M43" s="76" t="n">
        <f aca="false">Допущения!$E$17*M35</f>
        <v>16115.04</v>
      </c>
      <c r="N43" s="76" t="n">
        <f aca="false">Допущения!$E$17*N35</f>
        <v>18714.24</v>
      </c>
      <c r="O43" s="76" t="n">
        <f aca="false">Допущения!$E$17*O35</f>
        <v>19649.952</v>
      </c>
      <c r="P43" s="76" t="n">
        <f aca="false">Допущения!$E$17*P35</f>
        <v>20585.664</v>
      </c>
      <c r="Q43" s="76" t="n">
        <f aca="false">Допущения!$E$17*Q35</f>
        <v>21521.376</v>
      </c>
      <c r="R43" s="76" t="n">
        <f aca="false">Допущения!$E$17*R35</f>
        <v>22457.088</v>
      </c>
      <c r="S43" s="76" t="n">
        <f aca="false">Допущения!$E$17*S35</f>
        <v>23392.8</v>
      </c>
      <c r="T43" s="76" t="n">
        <f aca="false">Допущения!$E$17*T35</f>
        <v>24328.512</v>
      </c>
      <c r="U43" s="76" t="n">
        <f aca="false">Допущения!$E$17*U35</f>
        <v>25264.224</v>
      </c>
      <c r="V43" s="76" t="n">
        <f aca="false">Допущения!$E$17*V35</f>
        <v>26199.936</v>
      </c>
      <c r="W43" s="76" t="n">
        <f aca="false">Допущения!$E$17*W35</f>
        <v>27135.648</v>
      </c>
      <c r="X43" s="76" t="n">
        <f aca="false">Допущения!$E$17*X35</f>
        <v>28071.36</v>
      </c>
      <c r="Y43" s="76" t="n">
        <f aca="false">Допущения!$E$17*Y35</f>
        <v>29007.072</v>
      </c>
      <c r="Z43" s="76" t="n">
        <f aca="false">Допущения!$E$17*Z35</f>
        <v>29942.784</v>
      </c>
      <c r="AA43" s="76" t="n">
        <f aca="false">Допущения!$E$17*AA35</f>
        <v>30878.496</v>
      </c>
      <c r="AB43" s="76" t="n">
        <f aca="false">Допущения!$E$17*AB35</f>
        <v>31814.208</v>
      </c>
      <c r="AC43" s="76" t="n">
        <f aca="false">Допущения!$E$17*AC35</f>
        <v>32749.92</v>
      </c>
      <c r="AD43" s="76" t="n">
        <f aca="false">Допущения!$E$17*AD35</f>
        <v>33685.632</v>
      </c>
      <c r="AE43" s="76" t="n">
        <f aca="false">Допущения!$E$17*AE35</f>
        <v>34621.344</v>
      </c>
      <c r="AF43" s="76" t="n">
        <f aca="false">Допущения!$E$17*AF35</f>
        <v>35557.056</v>
      </c>
      <c r="AG43" s="76" t="n">
        <f aca="false">Допущения!$E$17*AG35</f>
        <v>36492.768</v>
      </c>
      <c r="AH43" s="76" t="n">
        <f aca="false">Допущения!$E$17*AH35</f>
        <v>37428.48</v>
      </c>
      <c r="AI43" s="76" t="n">
        <f aca="false">Допущения!$E$17*AI35</f>
        <v>38364.192</v>
      </c>
      <c r="AJ43" s="76" t="n">
        <f aca="false">Допущения!$E$17*AJ35</f>
        <v>39299.904</v>
      </c>
      <c r="AK43" s="76" t="n">
        <f aca="false">Допущения!$E$17*AK35</f>
        <v>40235.616</v>
      </c>
      <c r="AL43" s="76" t="n">
        <f aca="false">Допущения!$E$17*AL35</f>
        <v>41171.328</v>
      </c>
      <c r="AM43" s="76" t="n">
        <f aca="false">Допущения!$E$17*AM35</f>
        <v>42107.04</v>
      </c>
    </row>
    <row r="44" customFormat="false" ht="15" hidden="false" customHeight="true" outlineLevel="0" collapsed="false">
      <c r="A44" s="16" t="s">
        <v>47</v>
      </c>
      <c r="C44" s="76" t="n">
        <f aca="false">(C12+C13)*Допущения!$C$74+C16*Допущения!$C$81</f>
        <v>0</v>
      </c>
      <c r="D44" s="76" t="n">
        <f aca="false">(D12+D13)*Допущения!$C$74+D16*Допущения!$C$81</f>
        <v>2788.566</v>
      </c>
      <c r="E44" s="76" t="n">
        <f aca="false">(E12+E13)*Допущения!$C$74+E16*Допущения!$C$81</f>
        <v>8089.422</v>
      </c>
      <c r="F44" s="76" t="n">
        <f aca="false">(F12+F13)*Допущения!$C$74+F16*Допущения!$C$81</f>
        <v>10485.9018</v>
      </c>
      <c r="G44" s="76" t="n">
        <f aca="false">(G12+G13)*Допущения!$C$74+G16*Допущения!$C$81</f>
        <v>15132.74202</v>
      </c>
      <c r="H44" s="76" t="n">
        <f aca="false">(H12+H13)*Допущения!$C$74+H16*Допущения!$C$81</f>
        <v>18632.590218</v>
      </c>
      <c r="I44" s="76" t="n">
        <f aca="false">(I12+I13)*Допущения!$C$74+I16*Допущения!$C$81</f>
        <v>22252.9807962</v>
      </c>
      <c r="J44" s="76" t="n">
        <f aca="false">(J12+J13)*Допущения!$C$74+J16*Допущения!$C$81</f>
        <v>25981.85951658</v>
      </c>
      <c r="K44" s="76" t="n">
        <f aca="false">(K12+K13)*Допущения!$C$74+K16*Допущения!$C$81</f>
        <v>29808.377564922</v>
      </c>
      <c r="L44" s="76" t="n">
        <f aca="false">(L12+L13)*Допущения!$C$74+L16*Допущения!$C$81</f>
        <v>33722.7710084298</v>
      </c>
      <c r="M44" s="76" t="n">
        <f aca="false">(M12+M13)*Допущения!$C$74+M16*Допущения!$C$81</f>
        <v>37716.2523075868</v>
      </c>
      <c r="N44" s="76" t="n">
        <f aca="false">(N12+N13)*Допущения!$C$74+N16*Допущения!$C$81</f>
        <v>41780.9126768281</v>
      </c>
      <c r="O44" s="76" t="n">
        <f aca="false">(O12+O13)*Допущения!$C$74+O16*Допущения!$C$81</f>
        <v>45909.6342091453</v>
      </c>
      <c r="P44" s="76" t="n">
        <f aca="false">(P12+P13)*Допущения!$C$74+P16*Допущения!$C$81</f>
        <v>54618.1169482308</v>
      </c>
      <c r="Q44" s="76" t="n">
        <f aca="false">(Q12+Q13)*Допущения!$C$74+Q16*Допущения!$C$81</f>
        <v>60295.0431494077</v>
      </c>
      <c r="R44" s="76" t="n">
        <f aca="false">(R12+R13)*Допущения!$C$74+R16*Допущения!$C$81</f>
        <v>64454.5325064669</v>
      </c>
      <c r="S44" s="76" t="n">
        <f aca="false">(S12+S13)*Допущения!$C$74+S16*Допущения!$C$81</f>
        <v>66501.2406478203</v>
      </c>
      <c r="T44" s="76" t="n">
        <f aca="false">(T12+T13)*Допущения!$C$74+T16*Допущения!$C$81</f>
        <v>71230.8735430382</v>
      </c>
      <c r="U44" s="76" t="n">
        <f aca="false">(U12+U13)*Допущения!$C$74+U16*Допущения!$C$81</f>
        <v>76052.1757887344</v>
      </c>
      <c r="V44" s="76" t="n">
        <f aca="false">(V12+V13)*Допущения!$C$74+V16*Допущения!$C$81</f>
        <v>80955.980449861</v>
      </c>
      <c r="W44" s="76" t="n">
        <f aca="false">(W12+W13)*Допущения!$C$74+W16*Допущения!$C$81</f>
        <v>85934.0372848749</v>
      </c>
      <c r="X44" s="76" t="n">
        <f aca="false">(X12+X13)*Допущения!$C$74+X16*Допущения!$C$81</f>
        <v>90978.9210763874</v>
      </c>
      <c r="Y44" s="76" t="n">
        <f aca="false">(Y12+Y13)*Допущения!$C$74+Y16*Допущения!$C$81</f>
        <v>96083.9491287487</v>
      </c>
      <c r="Z44" s="76" t="n">
        <f aca="false">(Z12+Z13)*Допущения!$C$74+Z16*Допущения!$C$81</f>
        <v>101243.107015874</v>
      </c>
      <c r="AA44" s="76" t="n">
        <f aca="false">(AA12+AA13)*Допущения!$C$74+AA16*Допущения!$C$81</f>
        <v>106450.981754286</v>
      </c>
      <c r="AB44" s="76" t="n">
        <f aca="false">(AB12+AB13)*Допущения!$C$74+AB16*Допущения!$C$81</f>
        <v>119594.894538858</v>
      </c>
      <c r="AC44" s="76" t="n">
        <f aca="false">(AC12+AC13)*Допущения!$C$74+AC16*Допущения!$C$81</f>
        <v>126566.073412972</v>
      </c>
      <c r="AD44" s="76" t="n">
        <f aca="false">(AD12+AD13)*Допущения!$C$74+AD16*Допущения!$C$81</f>
        <v>130652.399135675</v>
      </c>
      <c r="AE44" s="76" t="n">
        <f aca="false">(AE12+AE13)*Допущения!$C$74+AE16*Допущения!$C$81</f>
        <v>131056.489382107</v>
      </c>
      <c r="AF44" s="76" t="n">
        <f aca="false">(AF12+AF13)*Допущения!$C$74+AF16*Допущения!$C$81</f>
        <v>136106.189083897</v>
      </c>
      <c r="AG44" s="76" t="n">
        <f aca="false">(AG12+AG13)*Допущения!$C$74+AG16*Допущения!$C$81</f>
        <v>141215.551455507</v>
      </c>
      <c r="AH44" s="76" t="n">
        <f aca="false">(AH12+AH13)*Допущения!$C$74+AH16*Допущения!$C$81</f>
        <v>146378.610229956</v>
      </c>
      <c r="AI44" s="76" t="n">
        <f aca="false">(AI12+AI13)*Допущения!$C$74+AI16*Допущения!$C$81</f>
        <v>151589.995766961</v>
      </c>
      <c r="AJ44" s="76" t="n">
        <f aca="false">(AJ12+AJ13)*Допущения!$C$74+AJ16*Допущения!$C$81</f>
        <v>156500.988990265</v>
      </c>
      <c r="AK44" s="76" t="n">
        <f aca="false">(AK12+AK13)*Допущения!$C$74+AK16*Допущения!$C$81</f>
        <v>159671.978091238</v>
      </c>
      <c r="AL44" s="76" t="n">
        <f aca="false">(AL12+AL13)*Допущения!$C$74+AL16*Допущения!$C$81</f>
        <v>162525.868282114</v>
      </c>
      <c r="AM44" s="76" t="n">
        <f aca="false">(AM12+AM13)*Допущения!$C$74+AM16*Допущения!$C$81</f>
        <v>165094.369453903</v>
      </c>
    </row>
    <row r="45" customFormat="false" ht="15" hidden="false" customHeight="true" outlineLevel="0" collapsed="false">
      <c r="A45" s="16" t="s">
        <v>48</v>
      </c>
      <c r="C45" s="76" t="n">
        <f aca="false">Допущения!$B$39*(C12+C13+C16)</f>
        <v>0</v>
      </c>
      <c r="D45" s="76" t="n">
        <f aca="false">Допущения!$B$39*(D12+D13+D16)</f>
        <v>1391.5</v>
      </c>
      <c r="E45" s="76" t="n">
        <f aca="false">Допущения!$B$39*(E12+E13+E16)</f>
        <v>4003.725</v>
      </c>
      <c r="F45" s="76" t="n">
        <f aca="false">Допущения!$B$39*(F12+F13+F16)</f>
        <v>5113.1025</v>
      </c>
      <c r="G45" s="76" t="n">
        <f aca="false">Допущения!$B$39*(G12+G13+G16)</f>
        <v>7340.79225</v>
      </c>
      <c r="H45" s="76" t="n">
        <f aca="false">Допущения!$B$39*(H12+H13+H16)</f>
        <v>8966.213025</v>
      </c>
      <c r="I45" s="76" t="n">
        <f aca="false">Допущения!$B$39*(I12+I13+I16)</f>
        <v>10643.5917225</v>
      </c>
      <c r="J45" s="76" t="n">
        <f aca="false">Допущения!$B$39*(J12+J13+J16)</f>
        <v>12367.73255025</v>
      </c>
      <c r="K45" s="76" t="n">
        <f aca="false">Допущения!$B$39*(K12+K13+K16)</f>
        <v>14133.959295225</v>
      </c>
      <c r="L45" s="76" t="n">
        <f aca="false">Допущения!$B$39*(L12+L13+L16)</f>
        <v>15938.0633657025</v>
      </c>
      <c r="M45" s="76" t="n">
        <f aca="false">Допущения!$B$39*(M12+M13+M16)</f>
        <v>17776.2570291323</v>
      </c>
      <c r="N45" s="76" t="n">
        <f aca="false">Допущения!$B$39*(N12+N13+N16)</f>
        <v>19645.131326219</v>
      </c>
      <c r="O45" s="76" t="n">
        <f aca="false">Допущения!$B$39*(O12+O13+O16)</f>
        <v>21541.6181935971</v>
      </c>
      <c r="P45" s="76" t="n">
        <f aca="false">Допущения!$B$39*(P12+P13+P16)</f>
        <v>25719.4963742374</v>
      </c>
      <c r="Q45" s="76" t="n">
        <f aca="false">Допущения!$B$39*(Q12+Q13+Q16)</f>
        <v>28327.7217368137</v>
      </c>
      <c r="R45" s="76" t="n">
        <f aca="false">Допущения!$B$39*(R12+R13+R16)</f>
        <v>30173.1945631323</v>
      </c>
      <c r="S45" s="76" t="n">
        <f aca="false">Допущения!$B$39*(S12+S13+S16)</f>
        <v>30978.2651068191</v>
      </c>
      <c r="T45" s="76" t="n">
        <f aca="false">Допущения!$B$39*(T12+T13+T16)</f>
        <v>33157.1385961372</v>
      </c>
      <c r="U45" s="76" t="n">
        <f aca="false">Допущения!$B$39*(U12+U13+U16)</f>
        <v>35375.5247365235</v>
      </c>
      <c r="V45" s="76" t="n">
        <f aca="false">Допущения!$B$39*(V12+V13+V16)</f>
        <v>37629.4722628711</v>
      </c>
      <c r="W45" s="76" t="n">
        <f aca="false">Допущения!$B$39*(W12+W13+W16)</f>
        <v>39915.425036584</v>
      </c>
      <c r="X45" s="76" t="n">
        <f aca="false">Допущения!$B$39*(X12+X13+X16)</f>
        <v>42230.1825329256</v>
      </c>
      <c r="Y45" s="76" t="n">
        <f aca="false">Допущения!$B$39*(Y12+Y13+Y16)</f>
        <v>44570.864279633</v>
      </c>
      <c r="Z45" s="76" t="n">
        <f aca="false">Допущения!$B$39*(Z12+Z13+Z16)</f>
        <v>46934.8778516697</v>
      </c>
      <c r="AA45" s="76" t="n">
        <f aca="false">Допущения!$B$39*(AA12+AA13+AA16)</f>
        <v>49319.8900665028</v>
      </c>
      <c r="AB45" s="76" t="n">
        <f aca="false">Допущения!$B$39*(AB12+AB13+AB16)</f>
        <v>55662.0210598525</v>
      </c>
      <c r="AC45" s="76" t="n">
        <f aca="false">Допущения!$B$39*(AC12+AC13+AC16)</f>
        <v>58828.1139538672</v>
      </c>
      <c r="AD45" s="76" t="n">
        <f aca="false">Допущения!$B$39*(AD12+AD13+AD16)</f>
        <v>60557.9075584805</v>
      </c>
      <c r="AE45" s="76" t="n">
        <f aca="false">Допущения!$B$39*(AE12+AE13+AE16)</f>
        <v>60486.6668026325</v>
      </c>
      <c r="AF45" s="76" t="n">
        <f aca="false">Допущения!$B$39*(AF12+AF13+AF16)</f>
        <v>62803.5001223692</v>
      </c>
      <c r="AG45" s="76" t="n">
        <f aca="false">Допущения!$B$39*(AG12+AG13+AG16)</f>
        <v>65146.0501101323</v>
      </c>
      <c r="AH45" s="76" t="n">
        <f aca="false">Допущения!$B$39*(AH12+AH13+AH16)</f>
        <v>67511.7450991191</v>
      </c>
      <c r="AI45" s="76" t="n">
        <f aca="false">Допущения!$B$39*(AI12+AI13+AI16)</f>
        <v>69898.2705892072</v>
      </c>
      <c r="AJ45" s="76" t="n">
        <f aca="false">Допущения!$B$39*(AJ12+AJ13+AJ16)</f>
        <v>72131.9435302864</v>
      </c>
      <c r="AK45" s="76" t="n">
        <f aca="false">Допущения!$B$39*(AK12+AK13+AK16)</f>
        <v>73498.7491772578</v>
      </c>
      <c r="AL45" s="76" t="n">
        <f aca="false">Допущения!$B$39*(AL12+AL13+AL16)</f>
        <v>74728.874259532</v>
      </c>
      <c r="AM45" s="76" t="n">
        <f aca="false">Допущения!$B$39*(AM12+AM13+AM16)</f>
        <v>75835.9868335788</v>
      </c>
    </row>
    <row r="46" customFormat="false" ht="15" hidden="false" customHeight="true" outlineLevel="0" collapsed="false">
      <c r="A46" s="16" t="s">
        <v>49</v>
      </c>
      <c r="C46" s="76" t="n">
        <f aca="false">Допущения!$B$30*C32+Допущения!$B$33*(C33+C34)</f>
        <v>0</v>
      </c>
      <c r="D46" s="76" t="n">
        <f aca="false">Допущения!$B$30*D32+Допущения!$B$33*(D33+D34)</f>
        <v>822.553600000001</v>
      </c>
      <c r="E46" s="76" t="n">
        <f aca="false">Допущения!$B$30*E32+Допущения!$B$33*(E33+E34)</f>
        <v>2348.44191</v>
      </c>
      <c r="F46" s="76" t="n">
        <f aca="false">Допущения!$B$30*F32+Допущения!$B$33*(F33+F34)</f>
        <v>2956.227219</v>
      </c>
      <c r="G46" s="76" t="n">
        <f aca="false">Допущения!$B$30*G32+Допущения!$B$33*(G33+G34)</f>
        <v>4222.5117771</v>
      </c>
      <c r="H46" s="76" t="n">
        <f aca="false">Допущения!$B$30*H32+Допущения!$B$33*(H33+H34)</f>
        <v>5116.17207939</v>
      </c>
      <c r="I46" s="76" t="n">
        <f aca="false">Допущения!$B$30*I32+Допущения!$B$33*(I33+I34)</f>
        <v>6035.998391451</v>
      </c>
      <c r="J46" s="76" t="n">
        <f aca="false">Допущения!$B$30*J32+Допущения!$B$33*(J33+J34)</f>
        <v>6979.3741123059</v>
      </c>
      <c r="K46" s="76" t="n">
        <f aca="false">Допущения!$B$30*K32+Допущения!$B$33*(K33+K34)</f>
        <v>7943.94430107531</v>
      </c>
      <c r="L46" s="76" t="n">
        <f aca="false">Допущения!$B$30*L32+Допущения!$B$33*(L33+L34)</f>
        <v>8927.58951096778</v>
      </c>
      <c r="M46" s="76" t="n">
        <f aca="false">Допущения!$B$30*M32+Допущения!$B$33*(M33+M34)</f>
        <v>9928.402239871</v>
      </c>
      <c r="N46" s="76" t="n">
        <f aca="false">Допущения!$B$30*N32+Допущения!$B$33*(N33+N34)</f>
        <v>10944.6657358839</v>
      </c>
      <c r="O46" s="76" t="n">
        <f aca="false">Допущения!$B$30*O32+Допущения!$B$33*(O33+O34)</f>
        <v>11974.8349222955</v>
      </c>
      <c r="P46" s="76" t="n">
        <f aca="false">Допущения!$B$30*P32+Допущения!$B$33*(P33+P34)</f>
        <v>14351.421566066</v>
      </c>
      <c r="Q46" s="76" t="n">
        <f aca="false">Допущения!$B$30*Q32+Допущения!$B$33*(Q33+Q34)</f>
        <v>15768.5596506594</v>
      </c>
      <c r="R46" s="76" t="n">
        <f aca="false">Допущения!$B$30*R32+Допущения!$B$33*(R33+R34)</f>
        <v>16731.7340459934</v>
      </c>
      <c r="S46" s="76" t="n">
        <f aca="false">Допущения!$B$30*S32+Допущения!$B$33*(S33+S34)</f>
        <v>17087.6026277941</v>
      </c>
      <c r="T46" s="76" t="n">
        <f aca="false">Допущения!$B$30*T32+Допущения!$B$33*(T33+T34)</f>
        <v>18275.0013970147</v>
      </c>
      <c r="U46" s="76" t="n">
        <f aca="false">Допущения!$B$30*U32+Допущения!$B$33*(U33+U34)</f>
        <v>19482.2987373132</v>
      </c>
      <c r="V46" s="76" t="n">
        <f aca="false">Допущения!$B$30*V32+Допущения!$B$33*(V33+V34)</f>
        <v>20707.5047915819</v>
      </c>
      <c r="W46" s="76" t="n">
        <f aca="false">Допущения!$B$30*W32+Допущения!$B$33*(W33+W34)</f>
        <v>21948.8286884237</v>
      </c>
      <c r="X46" s="76" t="n">
        <f aca="false">Допущения!$B$30*X32+Допущения!$B$33*(X33+X34)</f>
        <v>23204.6586435813</v>
      </c>
      <c r="Y46" s="76" t="n">
        <f aca="false">Допущения!$B$30*Y32+Допущения!$B$33*(Y33+Y34)</f>
        <v>24473.5440512232</v>
      </c>
      <c r="Z46" s="76" t="n">
        <f aca="false">Допущения!$B$30*Z32+Допущения!$B$33*(Z33+Z34)</f>
        <v>25754.1793661009</v>
      </c>
      <c r="AA46" s="76" t="n">
        <f aca="false">Допущения!$B$30*AA32+Допущения!$B$33*(AA33+AA34)</f>
        <v>27045.3895974908</v>
      </c>
      <c r="AB46" s="76" t="n">
        <f aca="false">Допущения!$B$30*AB32+Допущения!$B$33*(AB33+AB34)</f>
        <v>30674.1065017417</v>
      </c>
      <c r="AC46" s="76" t="n">
        <f aca="false">Допущения!$B$30*AC32+Допущения!$B$33*(AC33+AC34)</f>
        <v>32372.1866751675</v>
      </c>
      <c r="AD46" s="76" t="n">
        <f aca="false">Допущения!$B$30*AD32+Допущения!$B$33*(AD33+AD34)</f>
        <v>33223.0341664508</v>
      </c>
      <c r="AE46" s="76" t="n">
        <f aca="false">Допущения!$B$30*AE32+Допущения!$B$33*(AE33+AE34)</f>
        <v>33029.4506818057</v>
      </c>
      <c r="AF46" s="76" t="n">
        <f aca="false">Допущения!$B$30*AF32+Допущения!$B$33*(AF33+AF34)</f>
        <v>34286.3260216251</v>
      </c>
      <c r="AG46" s="76" t="n">
        <f aca="false">Допущения!$B$30*AG32+Допущения!$B$33*(AG33+AG34)</f>
        <v>35556.1522754626</v>
      </c>
      <c r="AH46" s="76" t="n">
        <f aca="false">Допущения!$B$30*AH32+Допущения!$B$33*(AH33+AH34)</f>
        <v>36837.6343519164</v>
      </c>
      <c r="AI46" s="76" t="n">
        <f aca="false">Допущения!$B$30*AI32+Допущения!$B$33*(AI33+AI34)</f>
        <v>38129.6066687247</v>
      </c>
      <c r="AJ46" s="76" t="n">
        <f aca="false">Допущения!$B$30*AJ32+Допущения!$B$33*(AJ33+AJ34)</f>
        <v>39329.5827618523</v>
      </c>
      <c r="AK46" s="76" t="n">
        <f aca="false">Допущения!$B$30*AK32+Допущения!$B$33*(AK33+AK34)</f>
        <v>40017.906085667</v>
      </c>
      <c r="AL46" s="76" t="n">
        <f aca="false">Допущения!$B$30*AL32+Допущения!$B$33*(AL33+AL34)</f>
        <v>40637.3970771003</v>
      </c>
      <c r="AM46" s="76" t="n">
        <f aca="false">Допущения!$B$30*AM32+Допущения!$B$33*(AM33+AM34)</f>
        <v>41194.9389693903</v>
      </c>
    </row>
    <row r="47" customFormat="false" ht="15" hidden="false" customHeight="true" outlineLevel="0" collapsed="false">
      <c r="A47" s="27" t="s">
        <v>492</v>
      </c>
      <c r="C47" s="32" t="n">
        <f aca="false">SUM(C38:C46)</f>
        <v>0</v>
      </c>
      <c r="D47" s="32" t="n">
        <f aca="false">SUM(D38:D46)</f>
        <v>21407.342</v>
      </c>
      <c r="E47" s="32" t="n">
        <f aca="false">SUM(E38:E46)</f>
        <v>59536.0576695</v>
      </c>
      <c r="F47" s="32" t="n">
        <f aca="false">SUM(F38:F46)</f>
        <v>73494.50104755</v>
      </c>
      <c r="G47" s="32" t="n">
        <f aca="false">SUM(G38:G46)</f>
        <v>104385.69516567</v>
      </c>
      <c r="H47" s="32" t="n">
        <f aca="false">SUM(H38:H46)</f>
        <v>138688.742161116</v>
      </c>
      <c r="I47" s="32" t="n">
        <f aca="false">SUM(I38:I46)</f>
        <v>171265.267753654</v>
      </c>
      <c r="J47" s="32" t="n">
        <f aca="false">SUM(J38:J46)</f>
        <v>204764.366404289</v>
      </c>
      <c r="K47" s="32" t="n">
        <f aca="false">SUM(K38:K46)</f>
        <v>237741.375529318</v>
      </c>
      <c r="L47" s="32" t="n">
        <f aca="false">SUM(L38:L46)</f>
        <v>271931.553340386</v>
      </c>
      <c r="M47" s="32" t="n">
        <f aca="false">SUM(M38:M46)</f>
        <v>304429.899736793</v>
      </c>
      <c r="N47" s="32" t="n">
        <f aca="false">SUM(N38:N46)</f>
        <v>337126.756602492</v>
      </c>
      <c r="O47" s="32" t="n">
        <f aca="false">SUM(O38:O46)</f>
        <v>364479.797558243</v>
      </c>
      <c r="P47" s="32" t="n">
        <f aca="false">SUM(P38:P46)</f>
        <v>425237.658466419</v>
      </c>
      <c r="Q47" s="32" t="n">
        <f aca="false">SUM(Q38:Q46)</f>
        <v>456536.00919287</v>
      </c>
      <c r="R47" s="32" t="n">
        <f aca="false">SUM(R38:R46)</f>
        <v>480920.569096023</v>
      </c>
      <c r="S47" s="32" t="n">
        <f aca="false">SUM(S38:S46)</f>
        <v>490547.773010661</v>
      </c>
      <c r="T47" s="32" t="n">
        <f aca="false">SUM(T38:T46)</f>
        <v>519281.246724498</v>
      </c>
      <c r="U47" s="32" t="n">
        <f aca="false">SUM(U38:U46)</f>
        <v>550203.101626048</v>
      </c>
      <c r="V47" s="32" t="n">
        <f aca="false">SUM(V38:V46)</f>
        <v>579896.569906414</v>
      </c>
      <c r="W47" s="32" t="n">
        <f aca="false">SUM(W38:W46)</f>
        <v>611399.234031373</v>
      </c>
      <c r="X47" s="32" t="n">
        <f aca="false">SUM(X38:X46)</f>
        <v>643188.396264635</v>
      </c>
      <c r="Y47" s="32" t="n">
        <f aca="false">SUM(Y38:Y46)</f>
        <v>675235.406795372</v>
      </c>
      <c r="Z47" s="32" t="n">
        <f aca="false">SUM(Z38:Z46)</f>
        <v>707514.480793835</v>
      </c>
      <c r="AA47" s="32" t="n">
        <f aca="false">SUM(AA38:AA46)</f>
        <v>740002.411913251</v>
      </c>
      <c r="AB47" s="32" t="n">
        <f aca="false">SUM(AB38:AB46)</f>
        <v>828116.533663611</v>
      </c>
      <c r="AC47" s="32" t="n">
        <f aca="false">SUM(AC38:AC46)</f>
        <v>868981.57805851</v>
      </c>
      <c r="AD47" s="32" t="n">
        <f aca="false">SUM(AD38:AD46)</f>
        <v>889149.907406439</v>
      </c>
      <c r="AE47" s="32" t="n">
        <f aca="false">SUM(AE38:AE46)</f>
        <v>884301.065835995</v>
      </c>
      <c r="AF47" s="32" t="n">
        <f aca="false">SUM(AF38:AF46)</f>
        <v>916041.971839195</v>
      </c>
      <c r="AG47" s="32" t="n">
        <f aca="false">SUM(AG38:AG46)</f>
        <v>948037.838546876</v>
      </c>
      <c r="AH47" s="32" t="n">
        <f aca="false">SUM(AH38:AH46)</f>
        <v>978731.700726209</v>
      </c>
      <c r="AI47" s="32" t="n">
        <f aca="false">SUM(AI38:AI46)</f>
        <v>1011110.20050679</v>
      </c>
      <c r="AJ47" s="32" t="n">
        <f aca="false">SUM(AJ38:AJ46)</f>
        <v>1041192.95854211</v>
      </c>
      <c r="AK47" s="32" t="n">
        <f aca="false">SUM(AK38:AK46)</f>
        <v>1058782.2262879</v>
      </c>
      <c r="AL47" s="32" t="n">
        <f aca="false">SUM(AL38:AL46)</f>
        <v>1074269.19724494</v>
      </c>
      <c r="AM47" s="32" t="n">
        <f aca="false">SUM(AM38:AM46)</f>
        <v>1089278.22136045</v>
      </c>
    </row>
    <row r="48" customFormat="false" ht="15" hidden="false" customHeight="true" outlineLevel="0" collapsed="false">
      <c r="A48" s="27" t="s">
        <v>8</v>
      </c>
      <c r="C48" s="32" t="n">
        <f aca="false">C36-C47</f>
        <v>0</v>
      </c>
      <c r="D48" s="32" t="n">
        <f aca="false">D36-D47</f>
        <v>6867.93800000001</v>
      </c>
      <c r="E48" s="32" t="n">
        <f aca="false">E36-E47</f>
        <v>22834.0378305</v>
      </c>
      <c r="F48" s="32" t="n">
        <f aca="false">F36-F47</f>
        <v>34083.25990245</v>
      </c>
      <c r="G48" s="32" t="n">
        <f aca="false">G36-G47</f>
        <v>51266.29368933</v>
      </c>
      <c r="H48" s="32" t="n">
        <f aca="false">H36-H47</f>
        <v>74515.0618083845</v>
      </c>
      <c r="I48" s="32" t="n">
        <f aca="false">I36-I47</f>
        <v>97333.0518188961</v>
      </c>
      <c r="J48" s="32" t="n">
        <f aca="false">J36-J47</f>
        <v>120405.939211006</v>
      </c>
      <c r="K48" s="32" t="n">
        <f aca="false">K36-K47</f>
        <v>145060.639524448</v>
      </c>
      <c r="L48" s="32" t="n">
        <f aca="false">L36-L47</f>
        <v>169455.922208003</v>
      </c>
      <c r="M48" s="32" t="n">
        <f aca="false">M36-M47</f>
        <v>196401.412256757</v>
      </c>
      <c r="N48" s="32" t="n">
        <f aca="false">N36-N47</f>
        <v>223920.930191703</v>
      </c>
      <c r="O48" s="32" t="n">
        <f aca="false">O36-O47</f>
        <v>246389.628556533</v>
      </c>
      <c r="P48" s="32" t="n">
        <f aca="false">P36-P47</f>
        <v>281932.155836879</v>
      </c>
      <c r="Q48" s="32" t="n">
        <f aca="false">Q36-Q47</f>
        <v>316792.565340098</v>
      </c>
      <c r="R48" s="32" t="n">
        <f aca="false">R36-R47</f>
        <v>343238.645203648</v>
      </c>
      <c r="S48" s="32" t="n">
        <f aca="false">S36-S47</f>
        <v>362873.318379044</v>
      </c>
      <c r="T48" s="32" t="n">
        <f aca="false">T36-T47</f>
        <v>390238.103126236</v>
      </c>
      <c r="U48" s="32" t="n">
        <f aca="false">U36-U47</f>
        <v>416409.435239613</v>
      </c>
      <c r="V48" s="32" t="n">
        <f aca="false">V36-V47</f>
        <v>444704.589672681</v>
      </c>
      <c r="W48" s="32" t="n">
        <f aca="false">W36-W47</f>
        <v>471996.440389812</v>
      </c>
      <c r="X48" s="32" t="n">
        <f aca="false">X36-X47</f>
        <v>499727.095914431</v>
      </c>
      <c r="Y48" s="32" t="n">
        <f aca="false">Y36-Y47</f>
        <v>527852.675765788</v>
      </c>
      <c r="Z48" s="32" t="n">
        <f aca="false">Z36-Z47</f>
        <v>556333.687511209</v>
      </c>
      <c r="AA48" s="32" t="n">
        <f aca="false">AA36-AA47</f>
        <v>585134.587961289</v>
      </c>
      <c r="AB48" s="32" t="n">
        <f aca="false">AB36-AB47</f>
        <v>638809.799423475</v>
      </c>
      <c r="AC48" s="32" t="n">
        <f aca="false">AC36-AC47</f>
        <v>678150.619699868</v>
      </c>
      <c r="AD48" s="32" t="n">
        <f aca="false">AD36-AD47</f>
        <v>708902.440916101</v>
      </c>
      <c r="AE48" s="32" t="n">
        <f aca="false">AE36-AE47</f>
        <v>726952.268254291</v>
      </c>
      <c r="AF48" s="32" t="n">
        <f aca="false">AF36-AF47</f>
        <v>754783.449242062</v>
      </c>
      <c r="AG48" s="32" t="n">
        <f aca="false">AG36-AG47</f>
        <v>783007.215226256</v>
      </c>
      <c r="AH48" s="32" t="n">
        <f aca="false">AH36-AH47</f>
        <v>813115.776869609</v>
      </c>
      <c r="AI48" s="32" t="n">
        <f aca="false">AI36-AI47</f>
        <v>842064.212929448</v>
      </c>
      <c r="AJ48" s="32" t="n">
        <f aca="false">AJ36-AJ47</f>
        <v>870293.539550503</v>
      </c>
      <c r="AK48" s="32" t="n">
        <f aca="false">AK36-AK47</f>
        <v>893358.517995453</v>
      </c>
      <c r="AL48" s="32" t="n">
        <f aca="false">AL36-AL47</f>
        <v>915084.176610075</v>
      </c>
      <c r="AM48" s="32" t="n">
        <f aca="false">AM36-AM47</f>
        <v>934190.327109068</v>
      </c>
    </row>
    <row r="49" customFormat="false" ht="15" hidden="false" customHeight="true" outlineLevel="0" collapsed="false">
      <c r="A49" s="16" t="s">
        <v>9</v>
      </c>
      <c r="C49" s="77" t="n">
        <f aca="false">IF(C36=0,0,C48/C36)</f>
        <v>0</v>
      </c>
      <c r="D49" s="77" t="n">
        <f aca="false">IF(D36=0,0,D48/D36)</f>
        <v>0.242895490336435</v>
      </c>
      <c r="E49" s="77" t="n">
        <f aca="false">IF(E36=0,0,E48/E36)</f>
        <v>0.277212715268735</v>
      </c>
      <c r="F49" s="77" t="n">
        <f aca="false">IF(F36=0,0,F48/F36)</f>
        <v>0.316824403124464</v>
      </c>
      <c r="G49" s="77" t="n">
        <f aca="false">IF(G36=0,0,G48/G36)</f>
        <v>0.329364848251878</v>
      </c>
      <c r="H49" s="77" t="n">
        <f aca="false">IF(H36=0,0,H48/H36)</f>
        <v>0.34950155870129</v>
      </c>
      <c r="I49" s="77" t="n">
        <f aca="false">IF(I36=0,0,I48/I36)</f>
        <v>0.362374016240283</v>
      </c>
      <c r="J49" s="77" t="n">
        <f aca="false">IF(J36=0,0,J48/J36)</f>
        <v>0.370285776812158</v>
      </c>
      <c r="K49" s="77" t="n">
        <f aca="false">IF(K36=0,0,K48/K36)</f>
        <v>0.378944294491432</v>
      </c>
      <c r="L49" s="77" t="n">
        <f aca="false">IF(L36=0,0,L48/L36)</f>
        <v>0.383916471570625</v>
      </c>
      <c r="M49" s="77" t="n">
        <f aca="false">IF(M36=0,0,M48/M36)</f>
        <v>0.392150825145066</v>
      </c>
      <c r="N49" s="77" t="n">
        <f aca="false">IF(N36=0,0,N48/N36)</f>
        <v>0.39911211731605</v>
      </c>
      <c r="O49" s="77" t="n">
        <f aca="false">IF(O36=0,0,O48/O36)</f>
        <v>0.403342544287425</v>
      </c>
      <c r="P49" s="77" t="n">
        <f aca="false">IF(P36=0,0,P48/P36)</f>
        <v>0.398676739496635</v>
      </c>
      <c r="Q49" s="77" t="n">
        <f aca="false">IF(Q36=0,0,Q48/Q36)</f>
        <v>0.409648079448528</v>
      </c>
      <c r="R49" s="77" t="n">
        <f aca="false">IF(R36=0,0,R48/R36)</f>
        <v>0.416471282791293</v>
      </c>
      <c r="S49" s="77" t="n">
        <f aca="false">IF(S36=0,0,S48/S36)</f>
        <v>0.425198441941648</v>
      </c>
      <c r="T49" s="77" t="n">
        <f aca="false">IF(T36=0,0,T48/T36)</f>
        <v>0.429059704106659</v>
      </c>
      <c r="U49" s="77" t="n">
        <f aca="false">IF(U36=0,0,U48/U36)</f>
        <v>0.430792504088414</v>
      </c>
      <c r="V49" s="77" t="n">
        <f aca="false">IF(V36=0,0,V48/V36)</f>
        <v>0.434027021651396</v>
      </c>
      <c r="W49" s="77" t="n">
        <f aca="false">IF(W36=0,0,W48/W36)</f>
        <v>0.43566395134629</v>
      </c>
      <c r="X49" s="77" t="n">
        <f aca="false">IF(X36=0,0,X48/X36)</f>
        <v>0.437238885406705</v>
      </c>
      <c r="Y49" s="77" t="n">
        <f aca="false">IF(Y36=0,0,Y48/Y36)</f>
        <v>0.438748154367953</v>
      </c>
      <c r="Z49" s="77" t="n">
        <f aca="false">IF(Z36=0,0,Z48/Z36)</f>
        <v>0.440190286668147</v>
      </c>
      <c r="AA49" s="77" t="n">
        <f aca="false">IF(AA36=0,0,AA48/AA36)</f>
        <v>0.441565353632634</v>
      </c>
      <c r="AB49" s="77" t="n">
        <f aca="false">IF(AB36=0,0,AB48/AB36)</f>
        <v>0.435475037167767</v>
      </c>
      <c r="AC49" s="77" t="n">
        <f aca="false">IF(AC36=0,0,AC48/AC36)</f>
        <v>0.438327520222533</v>
      </c>
      <c r="AD49" s="77" t="n">
        <f aca="false">IF(AD36=0,0,AD48/AD36)</f>
        <v>0.443604016889828</v>
      </c>
      <c r="AE49" s="77" t="n">
        <f aca="false">IF(AE36=0,0,AE48/AE36)</f>
        <v>0.451171924906972</v>
      </c>
      <c r="AF49" s="77" t="n">
        <f aca="false">IF(AF36=0,0,AF48/AF36)</f>
        <v>0.45174285698479</v>
      </c>
      <c r="AG49" s="77" t="n">
        <f aca="false">IF(AG36=0,0,AG48/AG36)</f>
        <v>0.452332083165338</v>
      </c>
      <c r="AH49" s="77" t="n">
        <f aca="false">IF(AH36=0,0,AH48/AH36)</f>
        <v>0.453786266429659</v>
      </c>
      <c r="AI49" s="77" t="n">
        <f aca="false">IF(AI36=0,0,AI48/AI36)</f>
        <v>0.454390157140178</v>
      </c>
      <c r="AJ49" s="77" t="n">
        <f aca="false">IF(AJ36=0,0,AJ48/AJ36)</f>
        <v>0.455296723476169</v>
      </c>
      <c r="AK49" s="77" t="n">
        <f aca="false">IF(AK36=0,0,AK48/AK36)</f>
        <v>0.457630178874942</v>
      </c>
      <c r="AL49" s="77" t="n">
        <f aca="false">IF(AL36=0,0,AL48/AL36)</f>
        <v>0.459990763147728</v>
      </c>
      <c r="AM49" s="77" t="n">
        <f aca="false">IF(AM36=0,0,AM48/AM36)</f>
        <v>0.461677710689232</v>
      </c>
    </row>
    <row r="50" customFormat="false" ht="15" hidden="false" customHeight="true" outlineLevel="0" collapsed="false">
      <c r="A50" s="29" t="s">
        <v>10</v>
      </c>
    </row>
    <row r="51" customFormat="false" ht="15" hidden="false" customHeight="true" outlineLevel="0" collapsed="false">
      <c r="A51" s="16" t="s">
        <v>50</v>
      </c>
      <c r="C51" s="76" t="n">
        <f aca="false">IF(C5=0,0,CHOOSE(C5,Допущения!$B$43,Допущения!$B$44,Допущения!$B$45))</f>
        <v>0</v>
      </c>
      <c r="D51" s="76" t="n">
        <f aca="false">IF(D5=0,0,CHOOSE(D5,Допущения!$B$43,Допущения!$B$44,Допущения!$B$45))</f>
        <v>500</v>
      </c>
      <c r="E51" s="76" t="n">
        <f aca="false">IF(E5=0,0,CHOOSE(E5,Допущения!$B$43,Допущения!$B$44,Допущения!$B$45))</f>
        <v>500</v>
      </c>
      <c r="F51" s="76" t="n">
        <f aca="false">IF(F5=0,0,CHOOSE(F5,Допущения!$B$43,Допущения!$B$44,Допущения!$B$45))</f>
        <v>500</v>
      </c>
      <c r="G51" s="76" t="n">
        <f aca="false">IF(G5=0,0,CHOOSE(G5,Допущения!$B$43,Допущения!$B$44,Допущения!$B$45))</f>
        <v>500</v>
      </c>
      <c r="H51" s="76" t="n">
        <f aca="false">IF(H5=0,0,CHOOSE(H5,Допущения!$B$43,Допущения!$B$44,Допущения!$B$45))</f>
        <v>500</v>
      </c>
      <c r="I51" s="76" t="n">
        <f aca="false">IF(I5=0,0,CHOOSE(I5,Допущения!$B$43,Допущения!$B$44,Допущения!$B$45))</f>
        <v>500</v>
      </c>
      <c r="J51" s="76" t="n">
        <f aca="false">IF(J5=0,0,CHOOSE(J5,Допущения!$B$43,Допущения!$B$44,Допущения!$B$45))</f>
        <v>500</v>
      </c>
      <c r="K51" s="76" t="n">
        <f aca="false">IF(K5=0,0,CHOOSE(K5,Допущения!$B$43,Допущения!$B$44,Допущения!$B$45))</f>
        <v>500</v>
      </c>
      <c r="L51" s="76" t="n">
        <f aca="false">IF(L5=0,0,CHOOSE(L5,Допущения!$B$43,Допущения!$B$44,Допущения!$B$45))</f>
        <v>500</v>
      </c>
      <c r="M51" s="76" t="n">
        <f aca="false">IF(M5=0,0,CHOOSE(M5,Допущения!$B$43,Допущения!$B$44,Допущения!$B$45))</f>
        <v>500</v>
      </c>
      <c r="N51" s="76" t="n">
        <f aca="false">IF(N5=0,0,CHOOSE(N5,Допущения!$B$43,Допущения!$B$44,Допущения!$B$45))</f>
        <v>500</v>
      </c>
      <c r="O51" s="76" t="n">
        <f aca="false">IF(O5=0,0,CHOOSE(O5,Допущения!$B$43,Допущения!$B$44,Допущения!$B$45))</f>
        <v>500</v>
      </c>
      <c r="P51" s="76" t="n">
        <f aca="false">IF(P5=0,0,CHOOSE(P5,Допущения!$B$43,Допущения!$B$44,Допущения!$B$45))</f>
        <v>1000</v>
      </c>
      <c r="Q51" s="76" t="n">
        <f aca="false">IF(Q5=0,0,CHOOSE(Q5,Допущения!$B$43,Допущения!$B$44,Допущения!$B$45))</f>
        <v>1000</v>
      </c>
      <c r="R51" s="76" t="n">
        <f aca="false">IF(R5=0,0,CHOOSE(R5,Допущения!$B$43,Допущения!$B$44,Допущения!$B$45))</f>
        <v>1000</v>
      </c>
      <c r="S51" s="76" t="n">
        <f aca="false">IF(S5=0,0,CHOOSE(S5,Допущения!$B$43,Допущения!$B$44,Допущения!$B$45))</f>
        <v>1000</v>
      </c>
      <c r="T51" s="76" t="n">
        <f aca="false">IF(T5=0,0,CHOOSE(T5,Допущения!$B$43,Допущения!$B$44,Допущения!$B$45))</f>
        <v>1000</v>
      </c>
      <c r="U51" s="76" t="n">
        <f aca="false">IF(U5=0,0,CHOOSE(U5,Допущения!$B$43,Допущения!$B$44,Допущения!$B$45))</f>
        <v>1000</v>
      </c>
      <c r="V51" s="76" t="n">
        <f aca="false">IF(V5=0,0,CHOOSE(V5,Допущения!$B$43,Допущения!$B$44,Допущения!$B$45))</f>
        <v>1000</v>
      </c>
      <c r="W51" s="76" t="n">
        <f aca="false">IF(W5=0,0,CHOOSE(W5,Допущения!$B$43,Допущения!$B$44,Допущения!$B$45))</f>
        <v>1000</v>
      </c>
      <c r="X51" s="76" t="n">
        <f aca="false">IF(X5=0,0,CHOOSE(X5,Допущения!$B$43,Допущения!$B$44,Допущения!$B$45))</f>
        <v>1000</v>
      </c>
      <c r="Y51" s="76" t="n">
        <f aca="false">IF(Y5=0,0,CHOOSE(Y5,Допущения!$B$43,Допущения!$B$44,Допущения!$B$45))</f>
        <v>1000</v>
      </c>
      <c r="Z51" s="76" t="n">
        <f aca="false">IF(Z5=0,0,CHOOSE(Z5,Допущения!$B$43,Допущения!$B$44,Допущения!$B$45))</f>
        <v>1000</v>
      </c>
      <c r="AA51" s="76" t="n">
        <f aca="false">IF(AA5=0,0,CHOOSE(AA5,Допущения!$B$43,Допущения!$B$44,Допущения!$B$45))</f>
        <v>1000</v>
      </c>
      <c r="AB51" s="76" t="n">
        <f aca="false">IF(AB5=0,0,CHOOSE(AB5,Допущения!$B$43,Допущения!$B$44,Допущения!$B$45))</f>
        <v>1500</v>
      </c>
      <c r="AC51" s="76" t="n">
        <f aca="false">IF(AC5=0,0,CHOOSE(AC5,Допущения!$B$43,Допущения!$B$44,Допущения!$B$45))</f>
        <v>1500</v>
      </c>
      <c r="AD51" s="76" t="n">
        <f aca="false">IF(AD5=0,0,CHOOSE(AD5,Допущения!$B$43,Допущения!$B$44,Допущения!$B$45))</f>
        <v>1500</v>
      </c>
      <c r="AE51" s="76" t="n">
        <f aca="false">IF(AE5=0,0,CHOOSE(AE5,Допущения!$B$43,Допущения!$B$44,Допущения!$B$45))</f>
        <v>1500</v>
      </c>
      <c r="AF51" s="76" t="n">
        <f aca="false">IF(AF5=0,0,CHOOSE(AF5,Допущения!$B$43,Допущения!$B$44,Допущения!$B$45))</f>
        <v>1500</v>
      </c>
      <c r="AG51" s="76" t="n">
        <f aca="false">IF(AG5=0,0,CHOOSE(AG5,Допущения!$B$43,Допущения!$B$44,Допущения!$B$45))</f>
        <v>1500</v>
      </c>
      <c r="AH51" s="76" t="n">
        <f aca="false">IF(AH5=0,0,CHOOSE(AH5,Допущения!$B$43,Допущения!$B$44,Допущения!$B$45))</f>
        <v>1500</v>
      </c>
      <c r="AI51" s="76" t="n">
        <f aca="false">IF(AI5=0,0,CHOOSE(AI5,Допущения!$B$43,Допущения!$B$44,Допущения!$B$45))</f>
        <v>1500</v>
      </c>
      <c r="AJ51" s="76" t="n">
        <f aca="false">IF(AJ5=0,0,CHOOSE(AJ5,Допущения!$B$43,Допущения!$B$44,Допущения!$B$45))</f>
        <v>1500</v>
      </c>
      <c r="AK51" s="76" t="n">
        <f aca="false">IF(AK5=0,0,CHOOSE(AK5,Допущения!$B$43,Допущения!$B$44,Допущения!$B$45))</f>
        <v>1500</v>
      </c>
      <c r="AL51" s="76" t="n">
        <f aca="false">IF(AL5=0,0,CHOOSE(AL5,Допущения!$B$43,Допущения!$B$44,Допущения!$B$45))</f>
        <v>1500</v>
      </c>
      <c r="AM51" s="76" t="n">
        <f aca="false">IF(AM5=0,0,CHOOSE(AM5,Допущения!$B$43,Допущения!$B$44,Допущения!$B$45))</f>
        <v>1500</v>
      </c>
    </row>
    <row r="52" customFormat="false" ht="15" hidden="false" customHeight="true" outlineLevel="0" collapsed="false">
      <c r="A52" s="16" t="s">
        <v>51</v>
      </c>
      <c r="C52" s="76" t="n">
        <f aca="false">IF(C2=0,0,IF(C2&lt;12,Допущения!$B$46,Допущения!$B$47))</f>
        <v>0</v>
      </c>
      <c r="D52" s="76" t="n">
        <f aca="false">IF(D2=0,0,IF(D2&lt;12,Допущения!$B$46,Допущения!$B$47))</f>
        <v>150</v>
      </c>
      <c r="E52" s="76" t="n">
        <f aca="false">IF(E2=0,0,IF(E2&lt;12,Допущения!$B$46,Допущения!$B$47))</f>
        <v>150</v>
      </c>
      <c r="F52" s="76" t="n">
        <f aca="false">IF(F2=0,0,IF(F2&lt;12,Допущения!$B$46,Допущения!$B$47))</f>
        <v>150</v>
      </c>
      <c r="G52" s="76" t="n">
        <f aca="false">IF(G2=0,0,IF(G2&lt;12,Допущения!$B$46,Допущения!$B$47))</f>
        <v>150</v>
      </c>
      <c r="H52" s="76" t="n">
        <f aca="false">IF(H2=0,0,IF(H2&lt;12,Допущения!$B$46,Допущения!$B$47))</f>
        <v>150</v>
      </c>
      <c r="I52" s="76" t="n">
        <f aca="false">IF(I2=0,0,IF(I2&lt;12,Допущения!$B$46,Допущения!$B$47))</f>
        <v>150</v>
      </c>
      <c r="J52" s="76" t="n">
        <f aca="false">IF(J2=0,0,IF(J2&lt;12,Допущения!$B$46,Допущения!$B$47))</f>
        <v>150</v>
      </c>
      <c r="K52" s="76" t="n">
        <f aca="false">IF(K2=0,0,IF(K2&lt;12,Допущения!$B$46,Допущения!$B$47))</f>
        <v>150</v>
      </c>
      <c r="L52" s="76" t="n">
        <f aca="false">IF(L2=0,0,IF(L2&lt;12,Допущения!$B$46,Допущения!$B$47))</f>
        <v>150</v>
      </c>
      <c r="M52" s="76" t="n">
        <f aca="false">IF(M2=0,0,IF(M2&lt;12,Допущения!$B$46,Допущения!$B$47))</f>
        <v>150</v>
      </c>
      <c r="N52" s="76" t="n">
        <f aca="false">IF(N2=0,0,IF(N2&lt;12,Допущения!$B$46,Допущения!$B$47))</f>
        <v>150</v>
      </c>
      <c r="O52" s="76" t="n">
        <f aca="false">IF(O2=0,0,IF(O2&lt;12,Допущения!$B$46,Допущения!$B$47))</f>
        <v>500</v>
      </c>
      <c r="P52" s="76" t="n">
        <f aca="false">IF(P2=0,0,IF(P2&lt;12,Допущения!$B$46,Допущения!$B$47))</f>
        <v>500</v>
      </c>
      <c r="Q52" s="76" t="n">
        <f aca="false">IF(Q2=0,0,IF(Q2&lt;12,Допущения!$B$46,Допущения!$B$47))</f>
        <v>500</v>
      </c>
      <c r="R52" s="76" t="n">
        <f aca="false">IF(R2=0,0,IF(R2&lt;12,Допущения!$B$46,Допущения!$B$47))</f>
        <v>500</v>
      </c>
      <c r="S52" s="76" t="n">
        <f aca="false">IF(S2=0,0,IF(S2&lt;12,Допущения!$B$46,Допущения!$B$47))</f>
        <v>500</v>
      </c>
      <c r="T52" s="76" t="n">
        <f aca="false">IF(T2=0,0,IF(T2&lt;12,Допущения!$B$46,Допущения!$B$47))</f>
        <v>500</v>
      </c>
      <c r="U52" s="76" t="n">
        <f aca="false">IF(U2=0,0,IF(U2&lt;12,Допущения!$B$46,Допущения!$B$47))</f>
        <v>500</v>
      </c>
      <c r="V52" s="76" t="n">
        <f aca="false">IF(V2=0,0,IF(V2&lt;12,Допущения!$B$46,Допущения!$B$47))</f>
        <v>500</v>
      </c>
      <c r="W52" s="76" t="n">
        <f aca="false">IF(W2=0,0,IF(W2&lt;12,Допущения!$B$46,Допущения!$B$47))</f>
        <v>500</v>
      </c>
      <c r="X52" s="76" t="n">
        <f aca="false">IF(X2=0,0,IF(X2&lt;12,Допущения!$B$46,Допущения!$B$47))</f>
        <v>500</v>
      </c>
      <c r="Y52" s="76" t="n">
        <f aca="false">IF(Y2=0,0,IF(Y2&lt;12,Допущения!$B$46,Допущения!$B$47))</f>
        <v>500</v>
      </c>
      <c r="Z52" s="76" t="n">
        <f aca="false">IF(Z2=0,0,IF(Z2&lt;12,Допущения!$B$46,Допущения!$B$47))</f>
        <v>500</v>
      </c>
      <c r="AA52" s="76" t="n">
        <f aca="false">IF(AA2=0,0,IF(AA2&lt;12,Допущения!$B$46,Допущения!$B$47))</f>
        <v>500</v>
      </c>
      <c r="AB52" s="76" t="n">
        <f aca="false">IF(AB2=0,0,IF(AB2&lt;12,Допущения!$B$46,Допущения!$B$47))</f>
        <v>500</v>
      </c>
      <c r="AC52" s="76" t="n">
        <f aca="false">IF(AC2=0,0,IF(AC2&lt;12,Допущения!$B$46,Допущения!$B$47))</f>
        <v>500</v>
      </c>
      <c r="AD52" s="76" t="n">
        <f aca="false">IF(AD2=0,0,IF(AD2&lt;12,Допущения!$B$46,Допущения!$B$47))</f>
        <v>500</v>
      </c>
      <c r="AE52" s="76" t="n">
        <f aca="false">IF(AE2=0,0,IF(AE2&lt;12,Допущения!$B$46,Допущения!$B$47))</f>
        <v>500</v>
      </c>
      <c r="AF52" s="76" t="n">
        <f aca="false">IF(AF2=0,0,IF(AF2&lt;12,Допущения!$B$46,Допущения!$B$47))</f>
        <v>500</v>
      </c>
      <c r="AG52" s="76" t="n">
        <f aca="false">IF(AG2=0,0,IF(AG2&lt;12,Допущения!$B$46,Допущения!$B$47))</f>
        <v>500</v>
      </c>
      <c r="AH52" s="76" t="n">
        <f aca="false">IF(AH2=0,0,IF(AH2&lt;12,Допущения!$B$46,Допущения!$B$47))</f>
        <v>500</v>
      </c>
      <c r="AI52" s="76" t="n">
        <f aca="false">IF(AI2=0,0,IF(AI2&lt;12,Допущения!$B$46,Допущения!$B$47))</f>
        <v>500</v>
      </c>
      <c r="AJ52" s="76" t="n">
        <f aca="false">IF(AJ2=0,0,IF(AJ2&lt;12,Допущения!$B$46,Допущения!$B$47))</f>
        <v>500</v>
      </c>
      <c r="AK52" s="76" t="n">
        <f aca="false">IF(AK2=0,0,IF(AK2&lt;12,Допущения!$B$46,Допущения!$B$47))</f>
        <v>500</v>
      </c>
      <c r="AL52" s="76" t="n">
        <f aca="false">IF(AL2=0,0,IF(AL2&lt;12,Допущения!$B$46,Допущения!$B$47))</f>
        <v>500</v>
      </c>
      <c r="AM52" s="76" t="n">
        <f aca="false">IF(AM2=0,0,IF(AM2&lt;12,Допущения!$B$46,Допущения!$B$47))</f>
        <v>500</v>
      </c>
    </row>
    <row r="53" customFormat="false" ht="15" hidden="false" customHeight="true" outlineLevel="0" collapsed="false">
      <c r="A53" s="16" t="s">
        <v>52</v>
      </c>
      <c r="C53" s="76" t="n">
        <f aca="false">IF(C2=0,0,Допущения!$B$48)</f>
        <v>0</v>
      </c>
      <c r="D53" s="76" t="n">
        <f aca="false">IF(D2=0,0,Допущения!$B$48)</f>
        <v>300</v>
      </c>
      <c r="E53" s="76" t="n">
        <f aca="false">IF(E2=0,0,Допущения!$B$48)</f>
        <v>300</v>
      </c>
      <c r="F53" s="76" t="n">
        <f aca="false">IF(F2=0,0,Допущения!$B$48)</f>
        <v>300</v>
      </c>
      <c r="G53" s="76" t="n">
        <f aca="false">IF(G2=0,0,Допущения!$B$48)</f>
        <v>300</v>
      </c>
      <c r="H53" s="76" t="n">
        <f aca="false">IF(H2=0,0,Допущения!$B$48)</f>
        <v>300</v>
      </c>
      <c r="I53" s="76" t="n">
        <f aca="false">IF(I2=0,0,Допущения!$B$48)</f>
        <v>300</v>
      </c>
      <c r="J53" s="76" t="n">
        <f aca="false">IF(J2=0,0,Допущения!$B$48)</f>
        <v>300</v>
      </c>
      <c r="K53" s="76" t="n">
        <f aca="false">IF(K2=0,0,Допущения!$B$48)</f>
        <v>300</v>
      </c>
      <c r="L53" s="76" t="n">
        <f aca="false">IF(L2=0,0,Допущения!$B$48)</f>
        <v>300</v>
      </c>
      <c r="M53" s="76" t="n">
        <f aca="false">IF(M2=0,0,Допущения!$B$48)</f>
        <v>300</v>
      </c>
      <c r="N53" s="76" t="n">
        <f aca="false">IF(N2=0,0,Допущения!$B$48)</f>
        <v>300</v>
      </c>
      <c r="O53" s="76" t="n">
        <f aca="false">IF(O2=0,0,Допущения!$B$48)</f>
        <v>300</v>
      </c>
      <c r="P53" s="76" t="n">
        <f aca="false">IF(P2=0,0,Допущения!$B$48)</f>
        <v>300</v>
      </c>
      <c r="Q53" s="76" t="n">
        <f aca="false">IF(Q2=0,0,Допущения!$B$48)</f>
        <v>300</v>
      </c>
      <c r="R53" s="76" t="n">
        <f aca="false">IF(R2=0,0,Допущения!$B$48)</f>
        <v>300</v>
      </c>
      <c r="S53" s="76" t="n">
        <f aca="false">IF(S2=0,0,Допущения!$B$48)</f>
        <v>300</v>
      </c>
      <c r="T53" s="76" t="n">
        <f aca="false">IF(T2=0,0,Допущения!$B$48)</f>
        <v>300</v>
      </c>
      <c r="U53" s="76" t="n">
        <f aca="false">IF(U2=0,0,Допущения!$B$48)</f>
        <v>300</v>
      </c>
      <c r="V53" s="76" t="n">
        <f aca="false">IF(V2=0,0,Допущения!$B$48)</f>
        <v>300</v>
      </c>
      <c r="W53" s="76" t="n">
        <f aca="false">IF(W2=0,0,Допущения!$B$48)</f>
        <v>300</v>
      </c>
      <c r="X53" s="76" t="n">
        <f aca="false">IF(X2=0,0,Допущения!$B$48)</f>
        <v>300</v>
      </c>
      <c r="Y53" s="76" t="n">
        <f aca="false">IF(Y2=0,0,Допущения!$B$48)</f>
        <v>300</v>
      </c>
      <c r="Z53" s="76" t="n">
        <f aca="false">IF(Z2=0,0,Допущения!$B$48)</f>
        <v>300</v>
      </c>
      <c r="AA53" s="76" t="n">
        <f aca="false">IF(AA2=0,0,Допущения!$B$48)</f>
        <v>300</v>
      </c>
      <c r="AB53" s="76" t="n">
        <f aca="false">IF(AB2=0,0,Допущения!$B$48)</f>
        <v>300</v>
      </c>
      <c r="AC53" s="76" t="n">
        <f aca="false">IF(AC2=0,0,Допущения!$B$48)</f>
        <v>300</v>
      </c>
      <c r="AD53" s="76" t="n">
        <f aca="false">IF(AD2=0,0,Допущения!$B$48)</f>
        <v>300</v>
      </c>
      <c r="AE53" s="76" t="n">
        <f aca="false">IF(AE2=0,0,Допущения!$B$48)</f>
        <v>300</v>
      </c>
      <c r="AF53" s="76" t="n">
        <f aca="false">IF(AF2=0,0,Допущения!$B$48)</f>
        <v>300</v>
      </c>
      <c r="AG53" s="76" t="n">
        <f aca="false">IF(AG2=0,0,Допущения!$B$48)</f>
        <v>300</v>
      </c>
      <c r="AH53" s="76" t="n">
        <f aca="false">IF(AH2=0,0,Допущения!$B$48)</f>
        <v>300</v>
      </c>
      <c r="AI53" s="76" t="n">
        <f aca="false">IF(AI2=0,0,Допущения!$B$48)</f>
        <v>300</v>
      </c>
      <c r="AJ53" s="76" t="n">
        <f aca="false">IF(AJ2=0,0,Допущения!$B$48)</f>
        <v>300</v>
      </c>
      <c r="AK53" s="76" t="n">
        <f aca="false">IF(AK2=0,0,Допущения!$B$48)</f>
        <v>300</v>
      </c>
      <c r="AL53" s="76" t="n">
        <f aca="false">IF(AL2=0,0,Допущения!$B$48)</f>
        <v>300</v>
      </c>
      <c r="AM53" s="76" t="n">
        <f aca="false">IF(AM2=0,0,Допущения!$B$48)</f>
        <v>300</v>
      </c>
    </row>
    <row r="54" customFormat="false" ht="15" hidden="false" customHeight="true" outlineLevel="0" collapsed="false">
      <c r="A54" s="16" t="s">
        <v>53</v>
      </c>
      <c r="C54" s="76" t="n">
        <f aca="false">IF(C2=0,0,SUMPRODUCT((Допущения!$C$102:$C$107&lt;=C2)*Допущения!$B$102:$B$107))</f>
        <v>0</v>
      </c>
      <c r="D54" s="76" t="n">
        <f aca="false">IF(D2=0,0,SUMPRODUCT((Допущения!$C$102:$C$107&lt;=D2)*Допущения!$B$102:$B$107))</f>
        <v>0</v>
      </c>
      <c r="E54" s="76" t="n">
        <f aca="false">IF(E2=0,0,SUMPRODUCT((Допущения!$C$102:$C$107&lt;=E2)*Допущения!$B$102:$B$107))</f>
        <v>0</v>
      </c>
      <c r="F54" s="76" t="n">
        <f aca="false">IF(F2=0,0,SUMPRODUCT((Допущения!$C$102:$C$107&lt;=F2)*Допущения!$B$102:$B$107))</f>
        <v>0</v>
      </c>
      <c r="G54" s="76" t="n">
        <f aca="false">IF(G2=0,0,SUMPRODUCT((Допущения!$C$102:$C$107&lt;=G2)*Допущения!$B$102:$B$107))</f>
        <v>0</v>
      </c>
      <c r="H54" s="76" t="n">
        <f aca="false">IF(H2=0,0,SUMPRODUCT((Допущения!$C$102:$C$107&lt;=H2)*Допущения!$B$102:$B$107))</f>
        <v>4000</v>
      </c>
      <c r="I54" s="76" t="n">
        <f aca="false">IF(I2=0,0,SUMPRODUCT((Допущения!$C$102:$C$107&lt;=I2)*Допущения!$B$102:$B$107))</f>
        <v>7000</v>
      </c>
      <c r="J54" s="76" t="n">
        <f aca="false">IF(J2=0,0,SUMPRODUCT((Допущения!$C$102:$C$107&lt;=J2)*Допущения!$B$102:$B$107))</f>
        <v>7000</v>
      </c>
      <c r="K54" s="76" t="n">
        <f aca="false">IF(K2=0,0,SUMPRODUCT((Допущения!$C$102:$C$107&lt;=K2)*Допущения!$B$102:$B$107))</f>
        <v>7000</v>
      </c>
      <c r="L54" s="76" t="n">
        <f aca="false">IF(L2=0,0,SUMPRODUCT((Допущения!$C$102:$C$107&lt;=L2)*Допущения!$B$102:$B$107))</f>
        <v>7000</v>
      </c>
      <c r="M54" s="76" t="n">
        <f aca="false">IF(M2=0,0,SUMPRODUCT((Допущения!$C$102:$C$107&lt;=M2)*Допущения!$B$102:$B$107))</f>
        <v>12000</v>
      </c>
      <c r="N54" s="76" t="n">
        <f aca="false">IF(N2=0,0,SUMPRODUCT((Допущения!$C$102:$C$107&lt;=N2)*Допущения!$B$102:$B$107))</f>
        <v>12000</v>
      </c>
      <c r="O54" s="76" t="n">
        <f aca="false">IF(O2=0,0,SUMPRODUCT((Допущения!$C$102:$C$107&lt;=O2)*Допущения!$B$102:$B$107))</f>
        <v>12000</v>
      </c>
      <c r="P54" s="76" t="n">
        <f aca="false">IF(P2=0,0,SUMPRODUCT((Допущения!$C$102:$C$107&lt;=P2)*Допущения!$B$102:$B$107))</f>
        <v>16000</v>
      </c>
      <c r="Q54" s="76" t="n">
        <f aca="false">IF(Q2=0,0,SUMPRODUCT((Допущения!$C$102:$C$107&lt;=Q2)*Допущения!$B$102:$B$107))</f>
        <v>16000</v>
      </c>
      <c r="R54" s="76" t="n">
        <f aca="false">IF(R2=0,0,SUMPRODUCT((Допущения!$C$102:$C$107&lt;=R2)*Допущения!$B$102:$B$107))</f>
        <v>16000</v>
      </c>
      <c r="S54" s="76" t="n">
        <f aca="false">IF(S2=0,0,SUMPRODUCT((Допущения!$C$102:$C$107&lt;=S2)*Допущения!$B$102:$B$107))</f>
        <v>19000</v>
      </c>
      <c r="T54" s="76" t="n">
        <f aca="false">IF(T2=0,0,SUMPRODUCT((Допущения!$C$102:$C$107&lt;=T2)*Допущения!$B$102:$B$107))</f>
        <v>19000</v>
      </c>
      <c r="U54" s="76" t="n">
        <f aca="false">IF(U2=0,0,SUMPRODUCT((Допущения!$C$102:$C$107&lt;=U2)*Допущения!$B$102:$B$107))</f>
        <v>21000</v>
      </c>
      <c r="V54" s="76" t="n">
        <f aca="false">IF(V2=0,0,SUMPRODUCT((Допущения!$C$102:$C$107&lt;=V2)*Допущения!$B$102:$B$107))</f>
        <v>21000</v>
      </c>
      <c r="W54" s="76" t="n">
        <f aca="false">IF(W2=0,0,SUMPRODUCT((Допущения!$C$102:$C$107&lt;=W2)*Допущения!$B$102:$B$107))</f>
        <v>21000</v>
      </c>
      <c r="X54" s="76" t="n">
        <f aca="false">IF(X2=0,0,SUMPRODUCT((Допущения!$C$102:$C$107&lt;=X2)*Допущения!$B$102:$B$107))</f>
        <v>21000</v>
      </c>
      <c r="Y54" s="76" t="n">
        <f aca="false">IF(Y2=0,0,SUMPRODUCT((Допущения!$C$102:$C$107&lt;=Y2)*Допущения!$B$102:$B$107))</f>
        <v>21000</v>
      </c>
      <c r="Z54" s="76" t="n">
        <f aca="false">IF(Z2=0,0,SUMPRODUCT((Допущения!$C$102:$C$107&lt;=Z2)*Допущения!$B$102:$B$107))</f>
        <v>21000</v>
      </c>
      <c r="AA54" s="76" t="n">
        <f aca="false">IF(AA2=0,0,SUMPRODUCT((Допущения!$C$102:$C$107&lt;=AA2)*Допущения!$B$102:$B$107))</f>
        <v>21000</v>
      </c>
      <c r="AB54" s="76" t="n">
        <f aca="false">IF(AB2=0,0,SUMPRODUCT((Допущения!$C$102:$C$107&lt;=AB2)*Допущения!$B$102:$B$107))</f>
        <v>21000</v>
      </c>
      <c r="AC54" s="76" t="n">
        <f aca="false">IF(AC2=0,0,SUMPRODUCT((Допущения!$C$102:$C$107&lt;=AC2)*Допущения!$B$102:$B$107))</f>
        <v>21000</v>
      </c>
      <c r="AD54" s="76" t="n">
        <f aca="false">IF(AD2=0,0,SUMPRODUCT((Допущения!$C$102:$C$107&lt;=AD2)*Допущения!$B$102:$B$107))</f>
        <v>21000</v>
      </c>
      <c r="AE54" s="76" t="n">
        <f aca="false">IF(AE2=0,0,SUMPRODUCT((Допущения!$C$102:$C$107&lt;=AE2)*Допущения!$B$102:$B$107))</f>
        <v>21000</v>
      </c>
      <c r="AF54" s="76" t="n">
        <f aca="false">IF(AF2=0,0,SUMPRODUCT((Допущения!$C$102:$C$107&lt;=AF2)*Допущения!$B$102:$B$107))</f>
        <v>21000</v>
      </c>
      <c r="AG54" s="76" t="n">
        <f aca="false">IF(AG2=0,0,SUMPRODUCT((Допущения!$C$102:$C$107&lt;=AG2)*Допущения!$B$102:$B$107))</f>
        <v>21000</v>
      </c>
      <c r="AH54" s="76" t="n">
        <f aca="false">IF(AH2=0,0,SUMPRODUCT((Допущения!$C$102:$C$107&lt;=AH2)*Допущения!$B$102:$B$107))</f>
        <v>21000</v>
      </c>
      <c r="AI54" s="76" t="n">
        <f aca="false">IF(AI2=0,0,SUMPRODUCT((Допущения!$C$102:$C$107&lt;=AI2)*Допущения!$B$102:$B$107))</f>
        <v>21000</v>
      </c>
      <c r="AJ54" s="76" t="n">
        <f aca="false">IF(AJ2=0,0,SUMPRODUCT((Допущения!$C$102:$C$107&lt;=AJ2)*Допущения!$B$102:$B$107))</f>
        <v>21000</v>
      </c>
      <c r="AK54" s="76" t="n">
        <f aca="false">IF(AK2=0,0,SUMPRODUCT((Допущения!$C$102:$C$107&lt;=AK2)*Допущения!$B$102:$B$107))</f>
        <v>21000</v>
      </c>
      <c r="AL54" s="76" t="n">
        <f aca="false">IF(AL2=0,0,SUMPRODUCT((Допущения!$C$102:$C$107&lt;=AL2)*Допущения!$B$102:$B$107))</f>
        <v>21000</v>
      </c>
      <c r="AM54" s="76" t="n">
        <f aca="false">IF(AM2=0,0,SUMPRODUCT((Допущения!$C$102:$C$107&lt;=AM2)*Допущения!$B$102:$B$107))</f>
        <v>21000</v>
      </c>
    </row>
    <row r="55" customFormat="false" ht="15" hidden="false" customHeight="true" outlineLevel="0" collapsed="false">
      <c r="A55" s="16" t="s">
        <v>493</v>
      </c>
      <c r="C55" s="76" t="n">
        <f aca="false">IF(C2&gt;=Допущения!$B$28,Допущения!$B$27,0)*C32/(1+IF(C2&gt;=Допущения!$B$28,Допущения!$B$27,0)*Допущения!$E$18)+Допущения!$B$49*C36</f>
        <v>0</v>
      </c>
      <c r="D55" s="76" t="n">
        <f aca="false">IF(D2&gt;=Допущения!$B$28,Допущения!$B$27,0)*D32/(1+IF(D2&gt;=Допущения!$B$28,Допущения!$B$27,0)*Допущения!$E$18)+Допущения!$B$49*D36</f>
        <v>0</v>
      </c>
      <c r="E55" s="76" t="n">
        <f aca="false">IF(E2&gt;=Допущения!$B$28,Допущения!$B$27,0)*E32/(1+IF(E2&gt;=Допущения!$B$28,Допущения!$B$27,0)*Допущения!$E$18)+Допущения!$B$49*E36</f>
        <v>0</v>
      </c>
      <c r="F55" s="76" t="n">
        <f aca="false">IF(F2&gt;=Допущения!$B$28,Допущения!$B$27,0)*F32/(1+IF(F2&gt;=Допущения!$B$28,Допущения!$B$27,0)*Допущения!$E$18)+Допущения!$B$49*F36</f>
        <v>0</v>
      </c>
      <c r="G55" s="76" t="n">
        <f aca="false">IF(G2&gt;=Допущения!$B$28,Допущения!$B$27,0)*G32/(1+IF(G2&gt;=Допущения!$B$28,Допущения!$B$27,0)*Допущения!$E$18)+Допущения!$B$49*G36</f>
        <v>8534.4</v>
      </c>
      <c r="H55" s="76" t="n">
        <f aca="false">IF(H2&gt;=Допущения!$B$28,Допущения!$B$27,0)*H32/(1+IF(H2&gt;=Допущения!$B$28,Допущения!$B$27,0)*Допущения!$E$18)+Допущения!$B$49*H36</f>
        <v>9753.6</v>
      </c>
      <c r="I55" s="76" t="n">
        <f aca="false">IF(I2&gt;=Допущения!$B$28,Допущения!$B$27,0)*I32/(1+IF(I2&gt;=Допущения!$B$28,Допущения!$B$27,0)*Допущения!$E$18)+Допущения!$B$49*I36</f>
        <v>10972.8</v>
      </c>
      <c r="J55" s="76" t="n">
        <f aca="false">IF(J2&gt;=Допущения!$B$28,Допущения!$B$27,0)*J32/(1+IF(J2&gt;=Допущения!$B$28,Допущения!$B$27,0)*Допущения!$E$18)+Допущения!$B$49*J36</f>
        <v>12192</v>
      </c>
      <c r="K55" s="76" t="n">
        <f aca="false">IF(K2&gt;=Допущения!$B$28,Допущения!$B$27,0)*K32/(1+IF(K2&gt;=Допущения!$B$28,Допущения!$B$27,0)*Допущения!$E$18)+Допущения!$B$49*K36</f>
        <v>13411.2</v>
      </c>
      <c r="L55" s="76" t="n">
        <f aca="false">IF(L2&gt;=Допущения!$B$28,Допущения!$B$27,0)*L32/(1+IF(L2&gt;=Допущения!$B$28,Допущения!$B$27,0)*Допущения!$E$18)+Допущения!$B$49*L36</f>
        <v>14630.4</v>
      </c>
      <c r="M55" s="76" t="n">
        <f aca="false">IF(M2&gt;=Допущения!$B$28,Допущения!$B$27,0)*M32/(1+IF(M2&gt;=Допущения!$B$28,Допущения!$B$27,0)*Допущения!$E$18)+Допущения!$B$49*M36</f>
        <v>15849.6</v>
      </c>
      <c r="N55" s="76" t="n">
        <f aca="false">IF(N2&gt;=Допущения!$B$28,Допущения!$B$27,0)*N32/(1+IF(N2&gt;=Допущения!$B$28,Допущения!$B$27,0)*Допущения!$E$18)+Допущения!$B$49*N36</f>
        <v>17068.8</v>
      </c>
      <c r="O55" s="76" t="n">
        <f aca="false">IF(O2&gt;=Допущения!$B$28,Допущения!$B$27,0)*O32/(1+IF(O2&gt;=Допущения!$B$28,Допущения!$B$27,0)*Допущения!$E$18)+Допущения!$B$49*O36</f>
        <v>18288</v>
      </c>
      <c r="P55" s="76" t="n">
        <f aca="false">IF(P2&gt;=Допущения!$B$28,Допущения!$B$27,0)*P32/(1+IF(P2&gt;=Допущения!$B$28,Допущения!$B$27,0)*Допущения!$E$18)+Допущения!$B$49*P36</f>
        <v>22713.696</v>
      </c>
      <c r="Q55" s="76" t="n">
        <f aca="false">IF(Q2&gt;=Допущения!$B$28,Допущения!$B$27,0)*Q32/(1+IF(Q2&gt;=Допущения!$B$28,Допущения!$B$27,0)*Допущения!$E$18)+Допущения!$B$49*Q36</f>
        <v>24396.192</v>
      </c>
      <c r="R55" s="76" t="n">
        <f aca="false">IF(R2&gt;=Допущения!$B$28,Допущения!$B$27,0)*R32/(1+IF(R2&gt;=Допущения!$B$28,Допущения!$B$27,0)*Допущения!$E$18)+Допущения!$B$49*R36</f>
        <v>24944.832</v>
      </c>
      <c r="S55" s="76" t="n">
        <f aca="false">IF(S2&gt;=Допущения!$B$28,Допущения!$B$27,0)*S32/(1+IF(S2&gt;=Допущения!$B$28,Допущения!$B$27,0)*Допущения!$E$18)+Допущения!$B$49*S36</f>
        <v>24140.16</v>
      </c>
      <c r="T55" s="76" t="n">
        <f aca="false">IF(T2&gt;=Допущения!$B$28,Допущения!$B$27,0)*T32/(1+IF(T2&gt;=Допущения!$B$28,Допущения!$B$27,0)*Допущения!$E$18)+Допущения!$B$49*T36</f>
        <v>25603.2</v>
      </c>
      <c r="U55" s="76" t="n">
        <f aca="false">IF(U2&gt;=Допущения!$B$28,Допущения!$B$27,0)*U32/(1+IF(U2&gt;=Допущения!$B$28,Допущения!$B$27,0)*Допущения!$E$18)+Допущения!$B$49*U36</f>
        <v>27066.24</v>
      </c>
      <c r="V55" s="76" t="n">
        <f aca="false">IF(V2&gt;=Допущения!$B$28,Допущения!$B$27,0)*V32/(1+IF(V2&gt;=Допущения!$B$28,Допущения!$B$27,0)*Допущения!$E$18)+Допущения!$B$49*V36</f>
        <v>28529.28</v>
      </c>
      <c r="W55" s="76" t="n">
        <f aca="false">IF(W2&gt;=Допущения!$B$28,Допущения!$B$27,0)*W32/(1+IF(W2&gt;=Допущения!$B$28,Допущения!$B$27,0)*Допущения!$E$18)+Допущения!$B$49*W36</f>
        <v>29992.32</v>
      </c>
      <c r="X55" s="76" t="n">
        <f aca="false">IF(X2&gt;=Допущения!$B$28,Допущения!$B$27,0)*X32/(1+IF(X2&gt;=Допущения!$B$28,Допущения!$B$27,0)*Допущения!$E$18)+Допущения!$B$49*X36</f>
        <v>31455.36</v>
      </c>
      <c r="Y55" s="76" t="n">
        <f aca="false">IF(Y2&gt;=Допущения!$B$28,Допущения!$B$27,0)*Y32/(1+IF(Y2&gt;=Допущения!$B$28,Допущения!$B$27,0)*Допущения!$E$18)+Допущения!$B$49*Y36</f>
        <v>32918.4</v>
      </c>
      <c r="Z55" s="76" t="n">
        <f aca="false">IF(Z2&gt;=Допущения!$B$28,Допущения!$B$27,0)*Z32/(1+IF(Z2&gt;=Допущения!$B$28,Допущения!$B$27,0)*Допущения!$E$18)+Допущения!$B$49*Z36</f>
        <v>34381.44</v>
      </c>
      <c r="AA55" s="76" t="n">
        <f aca="false">IF(AA2&gt;=Допущения!$B$28,Допущения!$B$27,0)*AA32/(1+IF(AA2&gt;=Допущения!$B$28,Допущения!$B$27,0)*Допущения!$E$18)+Допущения!$B$49*AA36</f>
        <v>35844.48</v>
      </c>
      <c r="AB55" s="76" t="n">
        <f aca="false">IF(AB2&gt;=Допущения!$B$28,Допущения!$B$27,0)*AB32/(1+IF(AB2&gt;=Допущения!$B$28,Допущения!$B$27,0)*Допущения!$E$18)+Допущения!$B$49*AB36</f>
        <v>42903.648</v>
      </c>
      <c r="AC55" s="76" t="n">
        <f aca="false">IF(AC2&gt;=Допущения!$B$28,Допущения!$B$27,0)*AC32/(1+IF(AC2&gt;=Допущения!$B$28,Допущения!$B$27,0)*Допущения!$E$18)+Допущения!$B$49*AC36</f>
        <v>44586.144</v>
      </c>
      <c r="AD55" s="76" t="n">
        <f aca="false">IF(AD2&gt;=Допущения!$B$28,Допущения!$B$27,0)*AD32/(1+IF(AD2&gt;=Допущения!$B$28,Допущения!$B$27,0)*Допущения!$E$18)+Допущения!$B$49*AD36</f>
        <v>44256.96</v>
      </c>
      <c r="AE55" s="76" t="n">
        <f aca="false">IF(AE2&gt;=Допущения!$B$28,Допущения!$B$27,0)*AE32/(1+IF(AE2&gt;=Допущения!$B$28,Допущения!$B$27,0)*Допущения!$E$18)+Допущения!$B$49*AE36</f>
        <v>41696.64</v>
      </c>
      <c r="AF55" s="76" t="n">
        <f aca="false">IF(AF2&gt;=Допущения!$B$28,Допущения!$B$27,0)*AF32/(1+IF(AF2&gt;=Допущения!$B$28,Допущения!$B$27,0)*Допущения!$E$18)+Допущения!$B$49*AF36</f>
        <v>43159.68</v>
      </c>
      <c r="AG55" s="76" t="n">
        <f aca="false">IF(AG2&gt;=Допущения!$B$28,Допущения!$B$27,0)*AG32/(1+IF(AG2&gt;=Допущения!$B$28,Допущения!$B$27,0)*Допущения!$E$18)+Допущения!$B$49*AG36</f>
        <v>44622.72</v>
      </c>
      <c r="AH55" s="76" t="n">
        <f aca="false">IF(AH2&gt;=Допущения!$B$28,Допущения!$B$27,0)*AH32/(1+IF(AH2&gt;=Допущения!$B$28,Допущения!$B$27,0)*Допущения!$E$18)+Допущения!$B$49*AH36</f>
        <v>46085.76</v>
      </c>
      <c r="AI55" s="76" t="n">
        <f aca="false">IF(AI2&gt;=Допущения!$B$28,Допущения!$B$27,0)*AI32/(1+IF(AI2&gt;=Допущения!$B$28,Допущения!$B$27,0)*Допущения!$E$18)+Допущения!$B$49*AI36</f>
        <v>47548.8</v>
      </c>
      <c r="AJ55" s="76" t="n">
        <f aca="false">IF(AJ2&gt;=Допущения!$B$28,Допущения!$B$27,0)*AJ32/(1+IF(AJ2&gt;=Допущения!$B$28,Допущения!$B$27,0)*Допущения!$E$18)+Допущения!$B$49*AJ36</f>
        <v>48768</v>
      </c>
      <c r="AK55" s="76" t="n">
        <f aca="false">IF(AK2&gt;=Допущения!$B$28,Допущения!$B$27,0)*AK32/(1+IF(AK2&gt;=Допущения!$B$28,Допущения!$B$27,0)*Допущения!$E$18)+Допущения!$B$49*AK36</f>
        <v>48768</v>
      </c>
      <c r="AL55" s="76" t="n">
        <f aca="false">IF(AL2&gt;=Допущения!$B$28,Допущения!$B$27,0)*AL32/(1+IF(AL2&gt;=Допущения!$B$28,Допущения!$B$27,0)*Допущения!$E$18)+Допущения!$B$49*AL36</f>
        <v>48768</v>
      </c>
      <c r="AM55" s="76" t="n">
        <f aca="false">IF(AM2&gt;=Допущения!$B$28,Допущения!$B$27,0)*AM32/(1+IF(AM2&gt;=Допущения!$B$28,Допущения!$B$27,0)*Допущения!$E$18)+Допущения!$B$49*AM36</f>
        <v>48768</v>
      </c>
    </row>
    <row r="56" customFormat="false" ht="15" hidden="false" customHeight="true" outlineLevel="0" collapsed="false">
      <c r="A56" s="27" t="s">
        <v>494</v>
      </c>
      <c r="C56" s="32" t="n">
        <f aca="false">SUM(C51:C55)</f>
        <v>0</v>
      </c>
      <c r="D56" s="32" t="n">
        <f aca="false">SUM(D51:D55)</f>
        <v>950</v>
      </c>
      <c r="E56" s="32" t="n">
        <f aca="false">SUM(E51:E55)</f>
        <v>950</v>
      </c>
      <c r="F56" s="32" t="n">
        <f aca="false">SUM(F51:F55)</f>
        <v>950</v>
      </c>
      <c r="G56" s="32" t="n">
        <f aca="false">SUM(G51:G55)</f>
        <v>9484.4</v>
      </c>
      <c r="H56" s="32" t="n">
        <f aca="false">SUM(H51:H55)</f>
        <v>14703.6</v>
      </c>
      <c r="I56" s="32" t="n">
        <f aca="false">SUM(I51:I55)</f>
        <v>18922.8</v>
      </c>
      <c r="J56" s="32" t="n">
        <f aca="false">SUM(J51:J55)</f>
        <v>20142</v>
      </c>
      <c r="K56" s="32" t="n">
        <f aca="false">SUM(K51:K55)</f>
        <v>21361.2</v>
      </c>
      <c r="L56" s="32" t="n">
        <f aca="false">SUM(L51:L55)</f>
        <v>22580.4</v>
      </c>
      <c r="M56" s="32" t="n">
        <f aca="false">SUM(M51:M55)</f>
        <v>28799.6</v>
      </c>
      <c r="N56" s="32" t="n">
        <f aca="false">SUM(N51:N55)</f>
        <v>30018.8</v>
      </c>
      <c r="O56" s="32" t="n">
        <f aca="false">SUM(O51:O55)</f>
        <v>31588</v>
      </c>
      <c r="P56" s="32" t="n">
        <f aca="false">SUM(P51:P55)</f>
        <v>40513.696</v>
      </c>
      <c r="Q56" s="32" t="n">
        <f aca="false">SUM(Q51:Q55)</f>
        <v>42196.192</v>
      </c>
      <c r="R56" s="32" t="n">
        <f aca="false">SUM(R51:R55)</f>
        <v>42744.832</v>
      </c>
      <c r="S56" s="32" t="n">
        <f aca="false">SUM(S51:S55)</f>
        <v>44940.16</v>
      </c>
      <c r="T56" s="32" t="n">
        <f aca="false">SUM(T51:T55)</f>
        <v>46403.2</v>
      </c>
      <c r="U56" s="32" t="n">
        <f aca="false">SUM(U51:U55)</f>
        <v>49866.24</v>
      </c>
      <c r="V56" s="32" t="n">
        <f aca="false">SUM(V51:V55)</f>
        <v>51329.28</v>
      </c>
      <c r="W56" s="32" t="n">
        <f aca="false">SUM(W51:W55)</f>
        <v>52792.32</v>
      </c>
      <c r="X56" s="32" t="n">
        <f aca="false">SUM(X51:X55)</f>
        <v>54255.36</v>
      </c>
      <c r="Y56" s="32" t="n">
        <f aca="false">SUM(Y51:Y55)</f>
        <v>55718.4</v>
      </c>
      <c r="Z56" s="32" t="n">
        <f aca="false">SUM(Z51:Z55)</f>
        <v>57181.44</v>
      </c>
      <c r="AA56" s="32" t="n">
        <f aca="false">SUM(AA51:AA55)</f>
        <v>58644.48</v>
      </c>
      <c r="AB56" s="32" t="n">
        <f aca="false">SUM(AB51:AB55)</f>
        <v>66203.648</v>
      </c>
      <c r="AC56" s="32" t="n">
        <f aca="false">SUM(AC51:AC55)</f>
        <v>67886.144</v>
      </c>
      <c r="AD56" s="32" t="n">
        <f aca="false">SUM(AD51:AD55)</f>
        <v>67556.96</v>
      </c>
      <c r="AE56" s="32" t="n">
        <f aca="false">SUM(AE51:AE55)</f>
        <v>64996.64</v>
      </c>
      <c r="AF56" s="32" t="n">
        <f aca="false">SUM(AF51:AF55)</f>
        <v>66459.68</v>
      </c>
      <c r="AG56" s="32" t="n">
        <f aca="false">SUM(AG51:AG55)</f>
        <v>67922.72</v>
      </c>
      <c r="AH56" s="32" t="n">
        <f aca="false">SUM(AH51:AH55)</f>
        <v>69385.76</v>
      </c>
      <c r="AI56" s="32" t="n">
        <f aca="false">SUM(AI51:AI55)</f>
        <v>70848.8</v>
      </c>
      <c r="AJ56" s="32" t="n">
        <f aca="false">SUM(AJ51:AJ55)</f>
        <v>72068</v>
      </c>
      <c r="AK56" s="32" t="n">
        <f aca="false">SUM(AK51:AK55)</f>
        <v>72068</v>
      </c>
      <c r="AL56" s="32" t="n">
        <f aca="false">SUM(AL51:AL55)</f>
        <v>72068</v>
      </c>
      <c r="AM56" s="32" t="n">
        <f aca="false">SUM(AM51:AM55)</f>
        <v>72068</v>
      </c>
    </row>
    <row r="57" customFormat="false" ht="15" hidden="false" customHeight="true" outlineLevel="0" collapsed="false">
      <c r="A57" s="27" t="s">
        <v>55</v>
      </c>
      <c r="C57" s="32" t="n">
        <f aca="false">C48-C56</f>
        <v>0</v>
      </c>
      <c r="D57" s="32" t="n">
        <f aca="false">D48-D56</f>
        <v>5917.93800000001</v>
      </c>
      <c r="E57" s="32" t="n">
        <f aca="false">E48-E56</f>
        <v>21884.0378305</v>
      </c>
      <c r="F57" s="32" t="n">
        <f aca="false">F48-F56</f>
        <v>33133.25990245</v>
      </c>
      <c r="G57" s="32" t="n">
        <f aca="false">G48-G56</f>
        <v>41781.89368933</v>
      </c>
      <c r="H57" s="32" t="n">
        <f aca="false">H48-H56</f>
        <v>59811.4618083845</v>
      </c>
      <c r="I57" s="32" t="n">
        <f aca="false">I48-I56</f>
        <v>78410.2518188961</v>
      </c>
      <c r="J57" s="32" t="n">
        <f aca="false">J48-J56</f>
        <v>100263.939211006</v>
      </c>
      <c r="K57" s="32" t="n">
        <f aca="false">K48-K56</f>
        <v>123699.439524448</v>
      </c>
      <c r="L57" s="32" t="n">
        <f aca="false">L48-L56</f>
        <v>146875.522208003</v>
      </c>
      <c r="M57" s="32" t="n">
        <f aca="false">M48-M56</f>
        <v>167601.812256757</v>
      </c>
      <c r="N57" s="32" t="n">
        <f aca="false">N48-N56</f>
        <v>193902.130191703</v>
      </c>
      <c r="O57" s="32" t="n">
        <f aca="false">O48-O56</f>
        <v>214801.628556533</v>
      </c>
      <c r="P57" s="32" t="n">
        <f aca="false">P48-P56</f>
        <v>241418.459836879</v>
      </c>
      <c r="Q57" s="32" t="n">
        <f aca="false">Q48-Q56</f>
        <v>274596.373340098</v>
      </c>
      <c r="R57" s="32" t="n">
        <f aca="false">R48-R56</f>
        <v>300493.813203648</v>
      </c>
      <c r="S57" s="32" t="n">
        <f aca="false">S48-S56</f>
        <v>317933.158379043</v>
      </c>
      <c r="T57" s="32" t="n">
        <f aca="false">T48-T56</f>
        <v>343834.903126236</v>
      </c>
      <c r="U57" s="32" t="n">
        <f aca="false">U48-U56</f>
        <v>366543.195239613</v>
      </c>
      <c r="V57" s="32" t="n">
        <f aca="false">V48-V56</f>
        <v>393375.309672681</v>
      </c>
      <c r="W57" s="32" t="n">
        <f aca="false">W48-W56</f>
        <v>419204.120389812</v>
      </c>
      <c r="X57" s="32" t="n">
        <f aca="false">X48-X56</f>
        <v>445471.735914431</v>
      </c>
      <c r="Y57" s="32" t="n">
        <f aca="false">Y48-Y56</f>
        <v>472134.275765788</v>
      </c>
      <c r="Z57" s="32" t="n">
        <f aca="false">Z48-Z56</f>
        <v>499152.247511209</v>
      </c>
      <c r="AA57" s="32" t="n">
        <f aca="false">AA48-AA56</f>
        <v>526490.107961289</v>
      </c>
      <c r="AB57" s="32" t="n">
        <f aca="false">AB48-AB56</f>
        <v>572606.151423475</v>
      </c>
      <c r="AC57" s="32" t="n">
        <f aca="false">AC48-AC56</f>
        <v>610264.475699868</v>
      </c>
      <c r="AD57" s="32" t="n">
        <f aca="false">AD48-AD56</f>
        <v>641345.480916101</v>
      </c>
      <c r="AE57" s="32" t="n">
        <f aca="false">AE48-AE56</f>
        <v>661955.628254291</v>
      </c>
      <c r="AF57" s="32" t="n">
        <f aca="false">AF48-AF56</f>
        <v>688323.769242062</v>
      </c>
      <c r="AG57" s="32" t="n">
        <f aca="false">AG48-AG56</f>
        <v>715084.495226256</v>
      </c>
      <c r="AH57" s="32" t="n">
        <f aca="false">AH48-AH56</f>
        <v>743730.016869609</v>
      </c>
      <c r="AI57" s="32" t="n">
        <f aca="false">AI48-AI56</f>
        <v>771215.412929448</v>
      </c>
      <c r="AJ57" s="32" t="n">
        <f aca="false">AJ48-AJ56</f>
        <v>798225.539550503</v>
      </c>
      <c r="AK57" s="32" t="n">
        <f aca="false">AK48-AK56</f>
        <v>821290.517995453</v>
      </c>
      <c r="AL57" s="32" t="n">
        <f aca="false">AL48-AL56</f>
        <v>843016.176610075</v>
      </c>
      <c r="AM57" s="32" t="n">
        <f aca="false">AM48-AM56</f>
        <v>862122.327109068</v>
      </c>
    </row>
    <row r="58" customFormat="false" ht="15" hidden="false" customHeight="true" outlineLevel="0" collapsed="false">
      <c r="A58" s="16" t="s">
        <v>389</v>
      </c>
      <c r="C58" s="76" t="n">
        <f aca="false">MAX(0,C57)*Допущения!$B$50</f>
        <v>0</v>
      </c>
      <c r="D58" s="76" t="n">
        <f aca="false">MAX(0,D57)*Допущения!$B$50</f>
        <v>1479.4845</v>
      </c>
      <c r="E58" s="76" t="n">
        <f aca="false">MAX(0,E57)*Допущения!$B$50</f>
        <v>5471.009457625</v>
      </c>
      <c r="F58" s="76" t="n">
        <f aca="false">MAX(0,F57)*Допущения!$B$50</f>
        <v>8283.3149756125</v>
      </c>
      <c r="G58" s="76" t="n">
        <f aca="false">MAX(0,G57)*Допущения!$B$50</f>
        <v>10445.4734223325</v>
      </c>
      <c r="H58" s="76" t="n">
        <f aca="false">MAX(0,H57)*Допущения!$B$50</f>
        <v>14952.8654520961</v>
      </c>
      <c r="I58" s="76" t="n">
        <f aca="false">MAX(0,I57)*Допущения!$B$50</f>
        <v>19602.562954724</v>
      </c>
      <c r="J58" s="76" t="n">
        <f aca="false">MAX(0,J57)*Допущения!$B$50</f>
        <v>25065.9848027516</v>
      </c>
      <c r="K58" s="76" t="n">
        <f aca="false">MAX(0,K57)*Допущения!$B$50</f>
        <v>30924.859881112</v>
      </c>
      <c r="L58" s="76" t="n">
        <f aca="false">MAX(0,L57)*Допущения!$B$50</f>
        <v>36718.8805520008</v>
      </c>
      <c r="M58" s="76" t="n">
        <f aca="false">MAX(0,M57)*Допущения!$B$50</f>
        <v>41900.4530641892</v>
      </c>
      <c r="N58" s="76" t="n">
        <f aca="false">MAX(0,N57)*Допущения!$B$50</f>
        <v>48475.5325479258</v>
      </c>
      <c r="O58" s="76" t="n">
        <f aca="false">MAX(0,O57)*Допущения!$B$50</f>
        <v>53700.4071391332</v>
      </c>
      <c r="P58" s="76" t="n">
        <f aca="false">MAX(0,P57)*Допущения!$B$50</f>
        <v>60354.6149592199</v>
      </c>
      <c r="Q58" s="76" t="n">
        <f aca="false">MAX(0,Q57)*Допущения!$B$50</f>
        <v>68649.0933350245</v>
      </c>
      <c r="R58" s="76" t="n">
        <f aca="false">MAX(0,R57)*Допущения!$B$50</f>
        <v>75123.453300912</v>
      </c>
      <c r="S58" s="76" t="n">
        <f aca="false">MAX(0,S57)*Допущения!$B$50</f>
        <v>79483.2895947609</v>
      </c>
      <c r="T58" s="76" t="n">
        <f aca="false">MAX(0,T57)*Допущения!$B$50</f>
        <v>85958.7257815591</v>
      </c>
      <c r="U58" s="76" t="n">
        <f aca="false">MAX(0,U57)*Допущения!$B$50</f>
        <v>91635.7988099032</v>
      </c>
      <c r="V58" s="76" t="n">
        <f aca="false">MAX(0,V57)*Допущения!$B$50</f>
        <v>98343.8274181701</v>
      </c>
      <c r="W58" s="76" t="n">
        <f aca="false">MAX(0,W57)*Допущения!$B$50</f>
        <v>104801.030097453</v>
      </c>
      <c r="X58" s="76" t="n">
        <f aca="false">MAX(0,X57)*Допущения!$B$50</f>
        <v>111367.933978608</v>
      </c>
      <c r="Y58" s="76" t="n">
        <f aca="false">MAX(0,Y57)*Допущения!$B$50</f>
        <v>118033.568941447</v>
      </c>
      <c r="Z58" s="76" t="n">
        <f aca="false">MAX(0,Z57)*Допущения!$B$50</f>
        <v>124788.061877802</v>
      </c>
      <c r="AA58" s="76" t="n">
        <f aca="false">MAX(0,AA57)*Допущения!$B$50</f>
        <v>131622.526990322</v>
      </c>
      <c r="AB58" s="76" t="n">
        <f aca="false">MAX(0,AB57)*Допущения!$B$50</f>
        <v>143151.537855869</v>
      </c>
      <c r="AC58" s="76" t="n">
        <f aca="false">MAX(0,AC57)*Допущения!$B$50</f>
        <v>152566.118924967</v>
      </c>
      <c r="AD58" s="76" t="n">
        <f aca="false">MAX(0,AD57)*Допущения!$B$50</f>
        <v>160336.370229025</v>
      </c>
      <c r="AE58" s="76" t="n">
        <f aca="false">MAX(0,AE57)*Допущения!$B$50</f>
        <v>165488.907063573</v>
      </c>
      <c r="AF58" s="76" t="n">
        <f aca="false">MAX(0,AF57)*Допущения!$B$50</f>
        <v>172080.942310515</v>
      </c>
      <c r="AG58" s="76" t="n">
        <f aca="false">MAX(0,AG57)*Допущения!$B$50</f>
        <v>178771.123806564</v>
      </c>
      <c r="AH58" s="76" t="n">
        <f aca="false">MAX(0,AH57)*Допущения!$B$50</f>
        <v>185932.504217402</v>
      </c>
      <c r="AI58" s="76" t="n">
        <f aca="false">MAX(0,AI57)*Допущения!$B$50</f>
        <v>192803.853232362</v>
      </c>
      <c r="AJ58" s="76" t="n">
        <f aca="false">MAX(0,AJ57)*Допущения!$B$50</f>
        <v>199556.384887626</v>
      </c>
      <c r="AK58" s="76" t="n">
        <f aca="false">MAX(0,AK57)*Допущения!$B$50</f>
        <v>205322.629498863</v>
      </c>
      <c r="AL58" s="76" t="n">
        <f aca="false">MAX(0,AL57)*Допущения!$B$50</f>
        <v>210754.044152519</v>
      </c>
      <c r="AM58" s="76" t="n">
        <f aca="false">MAX(0,AM57)*Допущения!$B$50</f>
        <v>215530.581777267</v>
      </c>
    </row>
    <row r="59" customFormat="false" ht="15" hidden="false" customHeight="true" outlineLevel="0" collapsed="false">
      <c r="A59" s="27" t="s">
        <v>57</v>
      </c>
      <c r="C59" s="32" t="n">
        <f aca="false">C57-C58</f>
        <v>0</v>
      </c>
      <c r="D59" s="32" t="n">
        <f aca="false">D57-D58</f>
        <v>4438.45350000001</v>
      </c>
      <c r="E59" s="32" t="n">
        <f aca="false">E57-E58</f>
        <v>16413.028372875</v>
      </c>
      <c r="F59" s="32" t="n">
        <f aca="false">F57-F58</f>
        <v>24849.9449268375</v>
      </c>
      <c r="G59" s="32" t="n">
        <f aca="false">G57-G58</f>
        <v>31336.4202669975</v>
      </c>
      <c r="H59" s="32" t="n">
        <f aca="false">H57-H58</f>
        <v>44858.5963562884</v>
      </c>
      <c r="I59" s="32" t="n">
        <f aca="false">I57-I58</f>
        <v>58807.688864172</v>
      </c>
      <c r="J59" s="32" t="n">
        <f aca="false">J57-J58</f>
        <v>75197.9544082548</v>
      </c>
      <c r="K59" s="32" t="n">
        <f aca="false">K57-K58</f>
        <v>92774.5796433359</v>
      </c>
      <c r="L59" s="32" t="n">
        <f aca="false">L57-L58</f>
        <v>110156.641656002</v>
      </c>
      <c r="M59" s="32" t="n">
        <f aca="false">M57-M58</f>
        <v>125701.359192568</v>
      </c>
      <c r="N59" s="32" t="n">
        <f aca="false">N57-N58</f>
        <v>145426.597643777</v>
      </c>
      <c r="O59" s="32" t="n">
        <f aca="false">O57-O58</f>
        <v>161101.2214174</v>
      </c>
      <c r="P59" s="32" t="n">
        <f aca="false">P57-P58</f>
        <v>181063.84487766</v>
      </c>
      <c r="Q59" s="32" t="n">
        <f aca="false">Q57-Q58</f>
        <v>205947.280005073</v>
      </c>
      <c r="R59" s="32" t="n">
        <f aca="false">R57-R58</f>
        <v>225370.359902736</v>
      </c>
      <c r="S59" s="32" t="n">
        <f aca="false">S57-S58</f>
        <v>238449.868784283</v>
      </c>
      <c r="T59" s="32" t="n">
        <f aca="false">T57-T58</f>
        <v>257876.177344677</v>
      </c>
      <c r="U59" s="32" t="n">
        <f aca="false">U57-U58</f>
        <v>274907.39642971</v>
      </c>
      <c r="V59" s="32" t="n">
        <f aca="false">V57-V58</f>
        <v>295031.48225451</v>
      </c>
      <c r="W59" s="32" t="n">
        <f aca="false">W57-W58</f>
        <v>314403.090292359</v>
      </c>
      <c r="X59" s="32" t="n">
        <f aca="false">X57-X58</f>
        <v>334103.801935823</v>
      </c>
      <c r="Y59" s="32" t="n">
        <f aca="false">Y57-Y58</f>
        <v>354100.706824341</v>
      </c>
      <c r="Z59" s="32" t="n">
        <f aca="false">Z57-Z58</f>
        <v>374364.185633407</v>
      </c>
      <c r="AA59" s="32" t="n">
        <f aca="false">AA57-AA58</f>
        <v>394867.580970966</v>
      </c>
      <c r="AB59" s="32" t="n">
        <f aca="false">AB57-AB58</f>
        <v>429454.613567606</v>
      </c>
      <c r="AC59" s="32" t="n">
        <f aca="false">AC57-AC58</f>
        <v>457698.356774901</v>
      </c>
      <c r="AD59" s="32" t="n">
        <f aca="false">AD57-AD58</f>
        <v>481009.110687076</v>
      </c>
      <c r="AE59" s="32" t="n">
        <f aca="false">AE57-AE58</f>
        <v>496466.721190718</v>
      </c>
      <c r="AF59" s="32" t="n">
        <f aca="false">AF57-AF58</f>
        <v>516242.826931546</v>
      </c>
      <c r="AG59" s="32" t="n">
        <f aca="false">AG57-AG58</f>
        <v>536313.371419692</v>
      </c>
      <c r="AH59" s="32" t="n">
        <f aca="false">AH57-AH58</f>
        <v>557797.512652207</v>
      </c>
      <c r="AI59" s="32" t="n">
        <f aca="false">AI57-AI58</f>
        <v>578411.559697086</v>
      </c>
      <c r="AJ59" s="32" t="n">
        <f aca="false">AJ57-AJ58</f>
        <v>598669.154662877</v>
      </c>
      <c r="AK59" s="32" t="n">
        <f aca="false">AK57-AK58</f>
        <v>615967.88849659</v>
      </c>
      <c r="AL59" s="32" t="n">
        <f aca="false">AL57-AL58</f>
        <v>632262.132457557</v>
      </c>
      <c r="AM59" s="32" t="n">
        <f aca="false">AM57-AM58</f>
        <v>646591.745331801</v>
      </c>
    </row>
    <row r="60" customFormat="false" ht="15" hidden="false" customHeight="true" outlineLevel="0" collapsed="false">
      <c r="A60" s="16" t="s">
        <v>495</v>
      </c>
      <c r="C60" s="76" t="n">
        <f aca="false">IF(C2=0,Допущения!$B$53+Допущения!$B$54,0)</f>
        <v>2599</v>
      </c>
      <c r="D60" s="76" t="n">
        <f aca="false">IF(D2=0,Допущения!$B$53+Допущения!$B$54,0)</f>
        <v>0</v>
      </c>
      <c r="E60" s="76" t="n">
        <f aca="false">IF(E2=0,Допущения!$B$53+Допущения!$B$54,0)</f>
        <v>0</v>
      </c>
      <c r="F60" s="76" t="n">
        <f aca="false">IF(F2=0,Допущения!$B$53+Допущения!$B$54,0)</f>
        <v>0</v>
      </c>
      <c r="G60" s="76" t="n">
        <f aca="false">IF(G2=0,Допущения!$B$53+Допущения!$B$54,0)</f>
        <v>0</v>
      </c>
      <c r="H60" s="76" t="n">
        <f aca="false">IF(H2=0,Допущения!$B$53+Допущения!$B$54,0)</f>
        <v>0</v>
      </c>
      <c r="I60" s="76" t="n">
        <f aca="false">IF(I2=0,Допущения!$B$53+Допущения!$B$54,0)</f>
        <v>0</v>
      </c>
      <c r="J60" s="76" t="n">
        <f aca="false">IF(J2=0,Допущения!$B$53+Допущения!$B$54,0)</f>
        <v>0</v>
      </c>
      <c r="K60" s="76" t="n">
        <f aca="false">IF(K2=0,Допущения!$B$53+Допущения!$B$54,0)</f>
        <v>0</v>
      </c>
      <c r="L60" s="76" t="n">
        <f aca="false">IF(L2=0,Допущения!$B$53+Допущения!$B$54,0)</f>
        <v>0</v>
      </c>
      <c r="M60" s="76" t="n">
        <f aca="false">IF(M2=0,Допущения!$B$53+Допущения!$B$54,0)</f>
        <v>0</v>
      </c>
      <c r="N60" s="76" t="n">
        <f aca="false">IF(N2=0,Допущения!$B$53+Допущения!$B$54,0)</f>
        <v>0</v>
      </c>
      <c r="O60" s="76" t="n">
        <f aca="false">IF(O2=0,Допущения!$B$53+Допущения!$B$54,0)</f>
        <v>0</v>
      </c>
      <c r="P60" s="76" t="n">
        <f aca="false">IF(P2=0,Допущения!$B$53+Допущения!$B$54,0)</f>
        <v>0</v>
      </c>
      <c r="Q60" s="76" t="n">
        <f aca="false">IF(Q2=0,Допущения!$B$53+Допущения!$B$54,0)</f>
        <v>0</v>
      </c>
      <c r="R60" s="76" t="n">
        <f aca="false">IF(R2=0,Допущения!$B$53+Допущения!$B$54,0)</f>
        <v>0</v>
      </c>
      <c r="S60" s="76" t="n">
        <f aca="false">IF(S2=0,Допущения!$B$53+Допущения!$B$54,0)</f>
        <v>0</v>
      </c>
      <c r="T60" s="76" t="n">
        <f aca="false">IF(T2=0,Допущения!$B$53+Допущения!$B$54,0)</f>
        <v>0</v>
      </c>
      <c r="U60" s="76" t="n">
        <f aca="false">IF(U2=0,Допущения!$B$53+Допущения!$B$54,0)</f>
        <v>0</v>
      </c>
      <c r="V60" s="76" t="n">
        <f aca="false">IF(V2=0,Допущения!$B$53+Допущения!$B$54,0)</f>
        <v>0</v>
      </c>
      <c r="W60" s="76" t="n">
        <f aca="false">IF(W2=0,Допущения!$B$53+Допущения!$B$54,0)</f>
        <v>0</v>
      </c>
      <c r="X60" s="76" t="n">
        <f aca="false">IF(X2=0,Допущения!$B$53+Допущения!$B$54,0)</f>
        <v>0</v>
      </c>
      <c r="Y60" s="76" t="n">
        <f aca="false">IF(Y2=0,Допущения!$B$53+Допущения!$B$54,0)</f>
        <v>0</v>
      </c>
      <c r="Z60" s="76" t="n">
        <f aca="false">IF(Z2=0,Допущения!$B$53+Допущения!$B$54,0)</f>
        <v>0</v>
      </c>
      <c r="AA60" s="76" t="n">
        <f aca="false">IF(AA2=0,Допущения!$B$53+Допущения!$B$54,0)</f>
        <v>0</v>
      </c>
      <c r="AB60" s="76" t="n">
        <f aca="false">IF(AB2=0,Допущения!$B$53+Допущения!$B$54,0)</f>
        <v>0</v>
      </c>
      <c r="AC60" s="76" t="n">
        <f aca="false">IF(AC2=0,Допущения!$B$53+Допущения!$B$54,0)</f>
        <v>0</v>
      </c>
      <c r="AD60" s="76" t="n">
        <f aca="false">IF(AD2=0,Допущения!$B$53+Допущения!$B$54,0)</f>
        <v>0</v>
      </c>
      <c r="AE60" s="76" t="n">
        <f aca="false">IF(AE2=0,Допущения!$B$53+Допущения!$B$54,0)</f>
        <v>0</v>
      </c>
      <c r="AF60" s="76" t="n">
        <f aca="false">IF(AF2=0,Допущения!$B$53+Допущения!$B$54,0)</f>
        <v>0</v>
      </c>
      <c r="AG60" s="76" t="n">
        <f aca="false">IF(AG2=0,Допущения!$B$53+Допущения!$B$54,0)</f>
        <v>0</v>
      </c>
      <c r="AH60" s="76" t="n">
        <f aca="false">IF(AH2=0,Допущения!$B$53+Допущения!$B$54,0)</f>
        <v>0</v>
      </c>
      <c r="AI60" s="76" t="n">
        <f aca="false">IF(AI2=0,Допущения!$B$53+Допущения!$B$54,0)</f>
        <v>0</v>
      </c>
      <c r="AJ60" s="76" t="n">
        <f aca="false">IF(AJ2=0,Допущения!$B$53+Допущения!$B$54,0)</f>
        <v>0</v>
      </c>
      <c r="AK60" s="76" t="n">
        <f aca="false">IF(AK2=0,Допущения!$B$53+Допущения!$B$54,0)</f>
        <v>0</v>
      </c>
      <c r="AL60" s="76" t="n">
        <f aca="false">IF(AL2=0,Допущения!$B$53+Допущения!$B$54,0)</f>
        <v>0</v>
      </c>
      <c r="AM60" s="76" t="n">
        <f aca="false">IF(AM2=0,Допущения!$B$53+Допущения!$B$54,0)</f>
        <v>0</v>
      </c>
    </row>
    <row r="61" customFormat="false" ht="15" hidden="false" customHeight="true" outlineLevel="0" collapsed="false">
      <c r="A61" s="29" t="s">
        <v>496</v>
      </c>
    </row>
    <row r="62" customFormat="false" ht="15" hidden="false" customHeight="true" outlineLevel="0" collapsed="false">
      <c r="A62" s="16" t="s">
        <v>497</v>
      </c>
      <c r="C62" s="76" t="n">
        <v>0</v>
      </c>
      <c r="D62" s="76" t="n">
        <f aca="false">(D32-D39-D40-Допущения!$B$30*D32)*(1-Допущения!$B$40)+(C32-C39-C40-Допущения!$B$30*C32)*Допущения!$B$40</f>
        <v>7582.91600000001</v>
      </c>
      <c r="E62" s="76" t="n">
        <f aca="false">(E32-E39-E40-Допущения!$B$30*E32)*(1-Допущения!$B$40)+(D32-D39-D40-Допущения!$B$30*D32)*Допущения!$B$40</f>
        <v>28263.596</v>
      </c>
      <c r="F62" s="76" t="n">
        <f aca="false">(F32-F39-F40-Допущения!$B$30*F32)*(1-Допущения!$B$40)+(E32-E39-E40-Допущения!$B$30*E32)*Допущения!$B$40</f>
        <v>44418.504</v>
      </c>
      <c r="G62" s="76" t="n">
        <f aca="false">(G32-G39-G40-Допущения!$B$30*G32)*(1-Допущения!$B$40)+(F32-F39-F40-Допущения!$B$30*F32)*Допущения!$B$40</f>
        <v>56467.248</v>
      </c>
      <c r="H62" s="76" t="n">
        <f aca="false">(H32-H39-H40-Допущения!$B$30*H32)*(1-Допущения!$B$40)+(G32-G39-G40-Допущения!$B$30*G32)*Допущения!$B$40</f>
        <v>70134.48</v>
      </c>
      <c r="I62" s="76" t="n">
        <f aca="false">(I32-I39-I40-Допущения!$B$30*I32)*(1-Допущения!$B$40)+(H32-H39-H40-Допущения!$B$30*H32)*Допущения!$B$40</f>
        <v>79485.744</v>
      </c>
      <c r="J62" s="76" t="n">
        <f aca="false">(J32-J39-J40-Допущения!$B$30*J32)*(1-Допущения!$B$40)+(I32-I39-I40-Допущения!$B$30*I32)*Допущения!$B$40</f>
        <v>88837.008</v>
      </c>
      <c r="K62" s="76" t="n">
        <f aca="false">(K32-K39-K40-Допущения!$B$30*K32)*(1-Допущения!$B$40)+(J32-J39-J40-Допущения!$B$30*J32)*Допущения!$B$40</f>
        <v>98188.272</v>
      </c>
      <c r="L62" s="76" t="n">
        <f aca="false">(L32-L39-L40-Допущения!$B$30*L32)*(1-Допущения!$B$40)+(K32-K39-K40-Допущения!$B$30*K32)*Допущения!$B$40</f>
        <v>107539.536</v>
      </c>
      <c r="M62" s="76" t="n">
        <f aca="false">(M32-M39-M40-Допущения!$B$30*M32)*(1-Допущения!$B$40)+(L32-L39-L40-Допущения!$B$30*L32)*Допущения!$B$40</f>
        <v>116890.8</v>
      </c>
      <c r="N62" s="76" t="n">
        <f aca="false">(N32-N39-N40-Допущения!$B$30*N32)*(1-Допущения!$B$40)+(M32-M39-M40-Допущения!$B$30*M32)*Допущения!$B$40</f>
        <v>126242.064</v>
      </c>
      <c r="O62" s="76" t="n">
        <f aca="false">(O32-O39-O40-Допущения!$B$30*O32)*(1-Допущения!$B$40)+(N32-N39-N40-Допущения!$B$30*N32)*Допущения!$B$40</f>
        <v>135593.328</v>
      </c>
      <c r="P62" s="76" t="n">
        <f aca="false">(P32-P39-P40-Допущения!$B$30*P32)*(1-Допущения!$B$40)+(O32-O39-O40-Допущения!$B$30*O32)*Допущения!$B$40</f>
        <v>157241.50416</v>
      </c>
      <c r="Q62" s="76" t="n">
        <f aca="false">(Q32-Q39-Q40-Допущения!$B$30*Q32)*(1-Допущения!$B$40)+(P32-P39-P40-Допущения!$B$30*P32)*Допущения!$B$40</f>
        <v>180666.42048</v>
      </c>
      <c r="R62" s="76" t="n">
        <f aca="false">(R32-R39-R40-Допущения!$B$30*R32)*(1-Допущения!$B$40)+(Q32-Q39-Q40-Допущения!$B$30*Q32)*Допущения!$B$40</f>
        <v>189222.82704</v>
      </c>
      <c r="S62" s="76" t="n">
        <f aca="false">(S32-S39-S40-Допущения!$B$30*S32)*(1-Допущения!$B$40)+(R32-R39-R40-Допущения!$B$30*R32)*Допущения!$B$40</f>
        <v>188240.94432</v>
      </c>
      <c r="T62" s="76" t="n">
        <f aca="false">(T32-T39-T40-Допущения!$B$30*T32)*(1-Допущения!$B$40)+(S32-S39-S40-Допущения!$B$30*S32)*Допущения!$B$40</f>
        <v>190765.7856</v>
      </c>
      <c r="U62" s="76" t="n">
        <f aca="false">(U32-U39-U40-Допущения!$B$30*U32)*(1-Допущения!$B$40)+(T32-T39-T40-Допущения!$B$30*T32)*Допущения!$B$40</f>
        <v>201987.3024</v>
      </c>
      <c r="V62" s="76" t="n">
        <f aca="false">(V32-V39-V40-Допущения!$B$30*V32)*(1-Допущения!$B$40)+(U32-U39-U40-Допущения!$B$30*U32)*Допущения!$B$40</f>
        <v>213208.8192</v>
      </c>
      <c r="W62" s="76" t="n">
        <f aca="false">(W32-W39-W40-Допущения!$B$30*W32)*(1-Допущения!$B$40)+(V32-V39-V40-Допущения!$B$30*V32)*Допущения!$B$40</f>
        <v>224430.336</v>
      </c>
      <c r="X62" s="76" t="n">
        <f aca="false">(X32-X39-X40-Допущения!$B$30*X32)*(1-Допущения!$B$40)+(W32-W39-W40-Допущения!$B$30*W32)*Допущения!$B$40</f>
        <v>235651.8528</v>
      </c>
      <c r="Y62" s="76" t="n">
        <f aca="false">(Y32-Y39-Y40-Допущения!$B$30*Y32)*(1-Допущения!$B$40)+(X32-X39-X40-Допущения!$B$30*X32)*Допущения!$B$40</f>
        <v>246873.3696</v>
      </c>
      <c r="Z62" s="76" t="n">
        <f aca="false">(Z32-Z39-Z40-Допущения!$B$30*Z32)*(1-Допущения!$B$40)+(Y32-Y39-Y40-Допущения!$B$30*Y32)*Допущения!$B$40</f>
        <v>258094.8864</v>
      </c>
      <c r="AA62" s="76" t="n">
        <f aca="false">(AA32-AA39-AA40-Допущения!$B$30*AA32)*(1-Допущения!$B$40)+(Z32-Z39-Z40-Допущения!$B$30*Z32)*Допущения!$B$40</f>
        <v>269316.4032</v>
      </c>
      <c r="AB62" s="76" t="n">
        <f aca="false">(AB32-AB39-AB40-Допущения!$B$30*AB32)*(1-Допущения!$B$40)+(AA32-AA39-AA40-Допущения!$B$30*AA32)*Допущения!$B$40</f>
        <v>301999.07088</v>
      </c>
      <c r="AC62" s="76" t="n">
        <f aca="false">(AC32-AC39-AC40-Допущения!$B$30*AC32)*(1-Допущения!$B$40)+(AB32-AB39-AB40-Допущения!$B$30*AB32)*Допущения!$B$40</f>
        <v>335523.35232</v>
      </c>
      <c r="AD62" s="76" t="n">
        <f aca="false">(AD32-AD39-AD40-Допущения!$B$30*AD32)*(1-Допущения!$B$40)+(AC32-AC39-AC40-Допущения!$B$30*AC32)*Допущения!$B$40</f>
        <v>340713.30384</v>
      </c>
      <c r="AE62" s="76" t="n">
        <f aca="false">(AE32-AE39-AE40-Допущения!$B$30*AE32)*(1-Допущения!$B$40)+(AD32-AD39-AD40-Допущения!$B$30*AD32)*Допущения!$B$40</f>
        <v>329632.056</v>
      </c>
      <c r="AF62" s="76" t="n">
        <f aca="false">(AF32-AF39-AF40-Допущения!$B$30*AF32)*(1-Допущения!$B$40)+(AE32-AE39-AE40-Допущения!$B$30*AE32)*Допущения!$B$40</f>
        <v>325423.9872</v>
      </c>
      <c r="AG62" s="76" t="n">
        <f aca="false">(AG32-AG39-AG40-Допущения!$B$30*AG32)*(1-Допущения!$B$40)+(AF32-AF39-AF40-Допущения!$B$30*AF32)*Допущения!$B$40</f>
        <v>336645.504</v>
      </c>
      <c r="AH62" s="76" t="n">
        <f aca="false">(AH32-AH39-AH40-Допущения!$B$30*AH32)*(1-Допущения!$B$40)+(AG32-AG39-AG40-Допущения!$B$30*AG32)*Допущения!$B$40</f>
        <v>347867.0208</v>
      </c>
      <c r="AI62" s="76" t="n">
        <f aca="false">(AI32-AI39-AI40-Допущения!$B$30*AI32)*(1-Допущения!$B$40)+(AH32-AH39-AH40-Допущения!$B$30*AH32)*Допущения!$B$40</f>
        <v>359088.5376</v>
      </c>
      <c r="AJ62" s="76" t="n">
        <f aca="false">(AJ32-AJ39-AJ40-Допущения!$B$30*AJ32)*(1-Допущения!$B$40)+(AI32-AI39-AI40-Допущения!$B$30*AI32)*Допущения!$B$40</f>
        <v>369374.928</v>
      </c>
      <c r="AK62" s="76" t="n">
        <f aca="false">(AK32-AK39-AK40-Допущения!$B$30*AK32)*(1-Допущения!$B$40)+(AJ32-AJ39-AJ40-Допущения!$B$30*AJ32)*Допущения!$B$40</f>
        <v>374050.56</v>
      </c>
      <c r="AL62" s="76" t="n">
        <f aca="false">(AL32-AL39-AL40-Допущения!$B$30*AL32)*(1-Допущения!$B$40)+(AK32-AK39-AK40-Допущения!$B$30*AK32)*Допущения!$B$40</f>
        <v>374050.56</v>
      </c>
      <c r="AM62" s="76" t="n">
        <f aca="false">(AM32-AM39-AM40-Допущения!$B$30*AM32)*(1-Допущения!$B$40)+(AL32-AL39-AL40-Допущения!$B$30*AL32)*Допущения!$B$40</f>
        <v>374050.56</v>
      </c>
    </row>
    <row r="63" customFormat="false" ht="15" hidden="false" customHeight="true" outlineLevel="0" collapsed="false">
      <c r="A63" s="16" t="s">
        <v>498</v>
      </c>
      <c r="C63" s="76" t="n">
        <f aca="false">C33+C34-C41-Допущения!$B$33*(C33+C34)</f>
        <v>0</v>
      </c>
      <c r="D63" s="76" t="n">
        <f aca="false">D33+D34-D41-Допущения!$B$33*(D33+D34)</f>
        <v>2429.34648</v>
      </c>
      <c r="E63" s="76" t="n">
        <f aca="false">E33+E34-E41-Допущения!$B$33*(E33+E34)</f>
        <v>11598.6098205</v>
      </c>
      <c r="F63" s="76" t="n">
        <f aca="false">F33+F34-F41-Допущения!$B$33*(F33+F34)</f>
        <v>25643.77116345</v>
      </c>
      <c r="G63" s="76" t="n">
        <f aca="false">G33+G34-G41-Допущения!$B$33*(G33+G34)</f>
        <v>42288.559131105</v>
      </c>
      <c r="H63" s="76" t="n">
        <f aca="false">H33+H34-H41-Допущения!$B$33*(H33+H34)</f>
        <v>62071.2016119945</v>
      </c>
      <c r="I63" s="76" t="n">
        <f aca="false">I33+I34-I41-Допущения!$B$33*(I33+I34)</f>
        <v>83091.8029067951</v>
      </c>
      <c r="J63" s="76" t="n">
        <f aca="false">J33+J34-J41-Допущения!$B$33*(J33+J34)</f>
        <v>105226.567134116</v>
      </c>
      <c r="K63" s="76" t="n">
        <f aca="false">K33+K34-K41-Допущения!$B$33*(K33+K34)</f>
        <v>128364.078000704</v>
      </c>
      <c r="L63" s="76" t="n">
        <f aca="false">L33+L34-L41-Допущения!$B$33*(L33+L34)</f>
        <v>152404.060842634</v>
      </c>
      <c r="M63" s="76" t="n">
        <f aca="false">M33+M34-M41-Допущения!$B$33*(M33+M34)</f>
        <v>177256.26846237</v>
      </c>
      <c r="N63" s="76" t="n">
        <f aca="false">N33+N34-N41-Допущения!$B$33*(N33+N34)</f>
        <v>202839.478382133</v>
      </c>
      <c r="O63" s="76" t="n">
        <f aca="false">O33+O34-O41-Допущения!$B$33*(O33+O34)</f>
        <v>229080.59037192</v>
      </c>
      <c r="P63" s="76" t="n">
        <f aca="false">P33+P34-P41-Допущения!$B$33*(P33+P34)</f>
        <v>259853.388429528</v>
      </c>
      <c r="Q63" s="76" t="n">
        <f aca="false">Q33+Q34-Q41-Допущения!$B$33*(Q33+Q34)</f>
        <v>295853.438236435</v>
      </c>
      <c r="R63" s="76" t="n">
        <f aca="false">R33+R34-R41-Допущения!$B$33*(R33+R34)</f>
        <v>331298.789515412</v>
      </c>
      <c r="S63" s="76" t="n">
        <f aca="false">S33+S34-S41-Допущения!$B$33*(S33+S34)</f>
        <v>362984.196018791</v>
      </c>
      <c r="T63" s="76" t="n">
        <f aca="false">T33+T34-T41-Допущения!$B$33*(T33+T34)</f>
        <v>392164.517396512</v>
      </c>
      <c r="U63" s="76" t="n">
        <f aca="false">U33+U34-U41-Допущения!$B$33*(U33+U34)</f>
        <v>422286.27431086</v>
      </c>
      <c r="V63" s="76" t="n">
        <f aca="false">V33+V34-V41-Допущения!$B$33*(V33+V34)</f>
        <v>453255.323208174</v>
      </c>
      <c r="W63" s="76" t="n">
        <f aca="false">W33+W34-W41-Допущения!$B$33*(W33+W34)</f>
        <v>484986.934890157</v>
      </c>
      <c r="X63" s="76" t="n">
        <f aca="false">X33+X34-X41-Допущения!$B$33*(X33+X34)</f>
        <v>517404.853078341</v>
      </c>
      <c r="Y63" s="76" t="n">
        <f aca="false">Y33+Y34-Y41-Допущения!$B$33*(Y33+Y34)</f>
        <v>550440.447122107</v>
      </c>
      <c r="Z63" s="76" t="n">
        <f aca="false">Z33+Z34-Z41-Допущения!$B$33*(Z33+Z34)</f>
        <v>584031.949435896</v>
      </c>
      <c r="AA63" s="76" t="n">
        <f aca="false">AA33+AA34-AA41-Допущения!$B$33*(AA33+AA34)</f>
        <v>618123.769192707</v>
      </c>
      <c r="AB63" s="76" t="n">
        <f aca="false">AB33+AB34-AB41-Допущения!$B$33*(AB33+AB34)</f>
        <v>659541.405294636</v>
      </c>
      <c r="AC63" s="76" t="n">
        <f aca="false">AC33+AC34-AC41-Допущения!$B$33*(AC33+AC34)</f>
        <v>708833.307321753</v>
      </c>
      <c r="AD63" s="76" t="n">
        <f aca="false">AD33+AD34-AD41-Допущения!$B$33*(AD33+AD34)</f>
        <v>755162.810987717</v>
      </c>
      <c r="AE63" s="76" t="n">
        <f aca="false">AE33+AE34-AE41-Допущения!$B$33*(AE33+AE34)</f>
        <v>793249.759423546</v>
      </c>
      <c r="AF63" s="76" t="n">
        <f aca="false">AF33+AF34-AF41-Допущения!$B$33*(AF33+AF34)</f>
        <v>825717.136553591</v>
      </c>
      <c r="AG63" s="76" t="n">
        <f aca="false">AG33+AG34-AG41-Допущения!$B$33*(AG33+AG34)</f>
        <v>858797.243645032</v>
      </c>
      <c r="AH63" s="76" t="n">
        <f aca="false">AH33+AH34-AH41-Допущения!$B$33*(AH33+AH34)</f>
        <v>892428.807701729</v>
      </c>
      <c r="AI63" s="76" t="n">
        <f aca="false">AI33+AI34-AI41-Допущения!$B$33*(AI33+AI34)</f>
        <v>926556.683027156</v>
      </c>
      <c r="AJ63" s="76" t="n">
        <f aca="false">AJ33+AJ34-AJ41-Допущения!$B$33*(AJ33+AJ34)</f>
        <v>960831.65110244</v>
      </c>
      <c r="AK63" s="76" t="n">
        <f aca="false">AK33+AK34-AK41-Допущения!$B$33*(AK33+AK34)</f>
        <v>993397.408472196</v>
      </c>
      <c r="AL63" s="76" t="n">
        <f aca="false">AL33+AL34-AL41-Допущения!$B$33*(AL33+AL34)</f>
        <v>1022706.59010498</v>
      </c>
      <c r="AM63" s="76" t="n">
        <f aca="false">AM33+AM34-AM41-Допущения!$B$33*(AM33+AM34)</f>
        <v>1049084.85357448</v>
      </c>
    </row>
    <row r="64" customFormat="false" ht="15" hidden="false" customHeight="true" outlineLevel="0" collapsed="false">
      <c r="A64" s="16" t="s">
        <v>499</v>
      </c>
      <c r="C64" s="76" t="n">
        <v>0</v>
      </c>
      <c r="D64" s="76" t="n">
        <f aca="false">(D35-D42-D43)*(1-Допущения!$B$40)+(C35-C42-C43)*Допущения!$B$40</f>
        <v>0</v>
      </c>
      <c r="E64" s="76" t="n">
        <f aca="false">(E35-E42-E43)*(1-Допущения!$B$40)+(D35-D42-D43)*Допущения!$B$40</f>
        <v>0</v>
      </c>
      <c r="F64" s="76" t="n">
        <f aca="false">(F35-F42-F43)*(1-Допущения!$B$40)+(E35-E42-E43)*Допущения!$B$40</f>
        <v>0</v>
      </c>
      <c r="G64" s="76" t="n">
        <f aca="false">(G35-G42-G43)*(1-Допущения!$B$40)+(F35-F42-F43)*Допущения!$B$40</f>
        <v>0</v>
      </c>
      <c r="H64" s="76" t="n">
        <f aca="false">(H35-H42-H43)*(1-Допущения!$B$40)+(G35-G42-G43)*Допущения!$B$40</f>
        <v>5426.4</v>
      </c>
      <c r="I64" s="76" t="n">
        <f aca="false">(I35-I42-I43)*(1-Допущения!$B$40)+(H35-H42-H43)*Допущения!$B$40</f>
        <v>15374.8</v>
      </c>
      <c r="J64" s="76" t="n">
        <f aca="false">(J35-J42-J43)*(1-Допущения!$B$40)+(I35-I42-I43)*Допущения!$B$40</f>
        <v>24418.8</v>
      </c>
      <c r="K64" s="76" t="n">
        <f aca="false">(K35-K42-K43)*(1-Допущения!$B$40)+(J35-J42-J43)*Допущения!$B$40</f>
        <v>33462.8</v>
      </c>
      <c r="L64" s="76" t="n">
        <f aca="false">(L35-L42-L43)*(1-Допущения!$B$40)+(K35-K42-K43)*Допущения!$B$40</f>
        <v>42506.8</v>
      </c>
      <c r="M64" s="76" t="n">
        <f aca="false">(M35-M42-M43)*(1-Допущения!$B$40)+(L35-L42-L43)*Допущения!$B$40</f>
        <v>51550.8</v>
      </c>
      <c r="N64" s="76" t="n">
        <f aca="false">(N35-N42-N43)*(1-Допущения!$B$40)+(M35-M42-M43)*Допущения!$B$40</f>
        <v>60594.8</v>
      </c>
      <c r="O64" s="76" t="n">
        <f aca="false">(O35-O42-O43)*(1-Допущения!$B$40)+(N35-N42-N43)*Допущения!$B$40</f>
        <v>66744.72</v>
      </c>
      <c r="P64" s="76" t="n">
        <f aca="false">(P35-P42-P43)*(1-Допущения!$B$40)+(O35-O42-O43)*Допущения!$B$40</f>
        <v>70000.56</v>
      </c>
      <c r="Q64" s="76" t="n">
        <f aca="false">(Q35-Q42-Q43)*(1-Допущения!$B$40)+(P35-P42-P43)*Допущения!$B$40</f>
        <v>73256.4</v>
      </c>
      <c r="R64" s="76" t="n">
        <f aca="false">(R35-R42-R43)*(1-Допущения!$B$40)+(Q35-Q42-Q43)*Допущения!$B$40</f>
        <v>76512.24</v>
      </c>
      <c r="S64" s="76" t="n">
        <f aca="false">(S35-S42-S43)*(1-Допущения!$B$40)+(R35-R42-R43)*Допущения!$B$40</f>
        <v>79768.08</v>
      </c>
      <c r="T64" s="76" t="n">
        <f aca="false">(T35-T42-T43)*(1-Допущения!$B$40)+(S35-S42-S43)*Допущения!$B$40</f>
        <v>83023.92</v>
      </c>
      <c r="U64" s="76" t="n">
        <f aca="false">(U35-U42-U43)*(1-Допущения!$B$40)+(T35-T42-T43)*Допущения!$B$40</f>
        <v>86279.76</v>
      </c>
      <c r="V64" s="76" t="n">
        <f aca="false">(V35-V42-V43)*(1-Допущения!$B$40)+(U35-U42-U43)*Допущения!$B$40</f>
        <v>89535.6</v>
      </c>
      <c r="W64" s="76" t="n">
        <f aca="false">(W35-W42-W43)*(1-Допущения!$B$40)+(V35-V42-V43)*Допущения!$B$40</f>
        <v>92791.44</v>
      </c>
      <c r="X64" s="76" t="n">
        <f aca="false">(X35-X42-X43)*(1-Допущения!$B$40)+(W35-W42-W43)*Допущения!$B$40</f>
        <v>96047.28</v>
      </c>
      <c r="Y64" s="76" t="n">
        <f aca="false">(Y35-Y42-Y43)*(1-Допущения!$B$40)+(X35-X42-X43)*Допущения!$B$40</f>
        <v>99303.12</v>
      </c>
      <c r="Z64" s="76" t="n">
        <f aca="false">(Z35-Z42-Z43)*(1-Допущения!$B$40)+(Y35-Y42-Y43)*Допущения!$B$40</f>
        <v>102558.96</v>
      </c>
      <c r="AA64" s="76" t="n">
        <f aca="false">(AA35-AA42-AA43)*(1-Допущения!$B$40)+(Z35-Z42-Z43)*Допущения!$B$40</f>
        <v>105814.8</v>
      </c>
      <c r="AB64" s="76" t="n">
        <f aca="false">(AB35-AB42-AB43)*(1-Допущения!$B$40)+(AA35-AA42-AA43)*Допущения!$B$40</f>
        <v>109070.64</v>
      </c>
      <c r="AC64" s="76" t="n">
        <f aca="false">(AC35-AC42-AC43)*(1-Допущения!$B$40)+(AB35-AB42-AB43)*Допущения!$B$40</f>
        <v>112326.48</v>
      </c>
      <c r="AD64" s="76" t="n">
        <f aca="false">(AD35-AD42-AD43)*(1-Допущения!$B$40)+(AC35-AC42-AC43)*Допущения!$B$40</f>
        <v>115582.32</v>
      </c>
      <c r="AE64" s="76" t="n">
        <f aca="false">(AE35-AE42-AE43)*(1-Допущения!$B$40)+(AD35-AD42-AD43)*Допущения!$B$40</f>
        <v>118838.16</v>
      </c>
      <c r="AF64" s="76" t="n">
        <f aca="false">(AF35-AF42-AF43)*(1-Допущения!$B$40)+(AE35-AE42-AE43)*Допущения!$B$40</f>
        <v>122094</v>
      </c>
      <c r="AG64" s="76" t="n">
        <f aca="false">(AG35-AG42-AG43)*(1-Допущения!$B$40)+(AF35-AF42-AF43)*Допущения!$B$40</f>
        <v>125349.84</v>
      </c>
      <c r="AH64" s="76" t="n">
        <f aca="false">(AH35-AH42-AH43)*(1-Допущения!$B$40)+(AG35-AG42-AG43)*Допущения!$B$40</f>
        <v>128605.68</v>
      </c>
      <c r="AI64" s="76" t="n">
        <f aca="false">(AI35-AI42-AI43)*(1-Допущения!$B$40)+(AH35-AH42-AH43)*Допущения!$B$40</f>
        <v>131861.52</v>
      </c>
      <c r="AJ64" s="76" t="n">
        <f aca="false">(AJ35-AJ42-AJ43)*(1-Допущения!$B$40)+(AI35-AI42-AI43)*Допущения!$B$40</f>
        <v>135117.36</v>
      </c>
      <c r="AK64" s="76" t="n">
        <f aca="false">(AK35-AK42-AK43)*(1-Допущения!$B$40)+(AJ35-AJ42-AJ43)*Допущения!$B$40</f>
        <v>138373.2</v>
      </c>
      <c r="AL64" s="76" t="n">
        <f aca="false">(AL35-AL42-AL43)*(1-Допущения!$B$40)+(AK35-AK42-AK43)*Допущения!$B$40</f>
        <v>141629.04</v>
      </c>
      <c r="AM64" s="76" t="n">
        <f aca="false">(AM35-AM42-AM43)*(1-Допущения!$B$40)+(AL35-AL42-AL43)*Допущения!$B$40</f>
        <v>144884.88</v>
      </c>
    </row>
    <row r="65" customFormat="false" ht="15" hidden="false" customHeight="true" outlineLevel="0" collapsed="false">
      <c r="A65" s="27" t="s">
        <v>500</v>
      </c>
      <c r="C65" s="32" t="n">
        <f aca="false">SUM(C62:C64)</f>
        <v>0</v>
      </c>
      <c r="D65" s="32" t="n">
        <f aca="false">SUM(D62:D64)</f>
        <v>10012.26248</v>
      </c>
      <c r="E65" s="32" t="n">
        <f aca="false">SUM(E62:E64)</f>
        <v>39862.2058205</v>
      </c>
      <c r="F65" s="32" t="n">
        <f aca="false">SUM(F62:F64)</f>
        <v>70062.27516345</v>
      </c>
      <c r="G65" s="32" t="n">
        <f aca="false">SUM(G62:G64)</f>
        <v>98755.807131105</v>
      </c>
      <c r="H65" s="32" t="n">
        <f aca="false">SUM(H62:H64)</f>
        <v>137632.081611995</v>
      </c>
      <c r="I65" s="32" t="n">
        <f aca="false">SUM(I62:I64)</f>
        <v>177952.346906795</v>
      </c>
      <c r="J65" s="32" t="n">
        <f aca="false">SUM(J62:J64)</f>
        <v>218482.375134116</v>
      </c>
      <c r="K65" s="32" t="n">
        <f aca="false">SUM(K62:K64)</f>
        <v>260015.150000704</v>
      </c>
      <c r="L65" s="32" t="n">
        <f aca="false">SUM(L62:L64)</f>
        <v>302450.396842634</v>
      </c>
      <c r="M65" s="32" t="n">
        <f aca="false">SUM(M62:M64)</f>
        <v>345697.86846237</v>
      </c>
      <c r="N65" s="32" t="n">
        <f aca="false">SUM(N62:N64)</f>
        <v>389676.342382133</v>
      </c>
      <c r="O65" s="32" t="n">
        <f aca="false">SUM(O62:O64)</f>
        <v>431418.63837192</v>
      </c>
      <c r="P65" s="32" t="n">
        <f aca="false">SUM(P62:P64)</f>
        <v>487095.452589528</v>
      </c>
      <c r="Q65" s="32" t="n">
        <f aca="false">SUM(Q62:Q64)</f>
        <v>549776.258716435</v>
      </c>
      <c r="R65" s="32" t="n">
        <f aca="false">SUM(R62:R64)</f>
        <v>597033.856555412</v>
      </c>
      <c r="S65" s="32" t="n">
        <f aca="false">SUM(S62:S64)</f>
        <v>630993.22033879</v>
      </c>
      <c r="T65" s="32" t="n">
        <f aca="false">SUM(T62:T64)</f>
        <v>665954.222996512</v>
      </c>
      <c r="U65" s="32" t="n">
        <f aca="false">SUM(U62:U64)</f>
        <v>710553.33671086</v>
      </c>
      <c r="V65" s="32" t="n">
        <f aca="false">SUM(V62:V64)</f>
        <v>755999.742408174</v>
      </c>
      <c r="W65" s="32" t="n">
        <f aca="false">SUM(W62:W64)</f>
        <v>802208.710890157</v>
      </c>
      <c r="X65" s="32" t="n">
        <f aca="false">SUM(X62:X64)</f>
        <v>849103.985878341</v>
      </c>
      <c r="Y65" s="32" t="n">
        <f aca="false">SUM(Y62:Y64)</f>
        <v>896616.936722107</v>
      </c>
      <c r="Z65" s="32" t="n">
        <f aca="false">SUM(Z62:Z64)</f>
        <v>944685.795835896</v>
      </c>
      <c r="AA65" s="32" t="n">
        <f aca="false">SUM(AA62:AA64)</f>
        <v>993254.972392707</v>
      </c>
      <c r="AB65" s="32" t="n">
        <f aca="false">SUM(AB62:AB64)</f>
        <v>1070611.11617464</v>
      </c>
      <c r="AC65" s="32" t="n">
        <f aca="false">SUM(AC62:AC64)</f>
        <v>1156683.13964175</v>
      </c>
      <c r="AD65" s="32" t="n">
        <f aca="false">SUM(AD62:AD64)</f>
        <v>1211458.43482772</v>
      </c>
      <c r="AE65" s="32" t="n">
        <f aca="false">SUM(AE62:AE64)</f>
        <v>1241719.97542355</v>
      </c>
      <c r="AF65" s="32" t="n">
        <f aca="false">SUM(AF62:AF64)</f>
        <v>1273235.12375359</v>
      </c>
      <c r="AG65" s="32" t="n">
        <f aca="false">SUM(AG62:AG64)</f>
        <v>1320792.58764503</v>
      </c>
      <c r="AH65" s="32" t="n">
        <f aca="false">SUM(AH62:AH64)</f>
        <v>1368901.50850173</v>
      </c>
      <c r="AI65" s="32" t="n">
        <f aca="false">SUM(AI62:AI64)</f>
        <v>1417506.74062716</v>
      </c>
      <c r="AJ65" s="32" t="n">
        <f aca="false">SUM(AJ62:AJ64)</f>
        <v>1465323.93910244</v>
      </c>
      <c r="AK65" s="32" t="n">
        <f aca="false">SUM(AK62:AK64)</f>
        <v>1505821.1684722</v>
      </c>
      <c r="AL65" s="32" t="n">
        <f aca="false">SUM(AL62:AL64)</f>
        <v>1538386.19010498</v>
      </c>
      <c r="AM65" s="32" t="n">
        <f aca="false">SUM(AM62:AM64)</f>
        <v>1568020.29357448</v>
      </c>
    </row>
    <row r="66" customFormat="false" ht="15" hidden="false" customHeight="true" outlineLevel="0" collapsed="false">
      <c r="A66" s="16" t="s">
        <v>501</v>
      </c>
      <c r="C66" s="76" t="n">
        <f aca="false">C44+C45</f>
        <v>0</v>
      </c>
      <c r="D66" s="76" t="n">
        <f aca="false">D44+D45</f>
        <v>4180.066</v>
      </c>
      <c r="E66" s="76" t="n">
        <f aca="false">E44+E45</f>
        <v>12093.147</v>
      </c>
      <c r="F66" s="76" t="n">
        <f aca="false">F44+F45</f>
        <v>15599.0043</v>
      </c>
      <c r="G66" s="76" t="n">
        <f aca="false">G44+G45</f>
        <v>22473.53427</v>
      </c>
      <c r="H66" s="76" t="n">
        <f aca="false">H44+H45</f>
        <v>27598.803243</v>
      </c>
      <c r="I66" s="76" t="n">
        <f aca="false">I44+I45</f>
        <v>32896.5725187</v>
      </c>
      <c r="J66" s="76" t="n">
        <f aca="false">J44+J45</f>
        <v>38349.59206683</v>
      </c>
      <c r="K66" s="76" t="n">
        <f aca="false">K44+K45</f>
        <v>43942.336860147</v>
      </c>
      <c r="L66" s="76" t="n">
        <f aca="false">L44+L45</f>
        <v>49660.8343741323</v>
      </c>
      <c r="M66" s="76" t="n">
        <f aca="false">M44+M45</f>
        <v>55492.5093367191</v>
      </c>
      <c r="N66" s="76" t="n">
        <f aca="false">N44+N45</f>
        <v>61426.0440030472</v>
      </c>
      <c r="O66" s="76" t="n">
        <f aca="false">O44+O45</f>
        <v>67451.2524027425</v>
      </c>
      <c r="P66" s="76" t="n">
        <f aca="false">P44+P45</f>
        <v>80337.6133224682</v>
      </c>
      <c r="Q66" s="76" t="n">
        <f aca="false">Q44+Q45</f>
        <v>88622.7648862214</v>
      </c>
      <c r="R66" s="76" t="n">
        <f aca="false">R44+R45</f>
        <v>94627.7270695993</v>
      </c>
      <c r="S66" s="76" t="n">
        <f aca="false">S44+S45</f>
        <v>97479.5057546393</v>
      </c>
      <c r="T66" s="76" t="n">
        <f aca="false">T44+T45</f>
        <v>104388.012139175</v>
      </c>
      <c r="U66" s="76" t="n">
        <f aca="false">U44+U45</f>
        <v>111427.700525258</v>
      </c>
      <c r="V66" s="76" t="n">
        <f aca="false">V44+V45</f>
        <v>118585.452712732</v>
      </c>
      <c r="W66" s="76" t="n">
        <f aca="false">W44+W45</f>
        <v>125849.462321459</v>
      </c>
      <c r="X66" s="76" t="n">
        <f aca="false">X44+X45</f>
        <v>133209.103609313</v>
      </c>
      <c r="Y66" s="76" t="n">
        <f aca="false">Y44+Y45</f>
        <v>140654.813408382</v>
      </c>
      <c r="Z66" s="76" t="n">
        <f aca="false">Z44+Z45</f>
        <v>148177.984867544</v>
      </c>
      <c r="AA66" s="76" t="n">
        <f aca="false">AA44+AA45</f>
        <v>155770.871820789</v>
      </c>
      <c r="AB66" s="76" t="n">
        <f aca="false">AB44+AB45</f>
        <v>175256.91559871</v>
      </c>
      <c r="AC66" s="76" t="n">
        <f aca="false">AC44+AC45</f>
        <v>185394.187366839</v>
      </c>
      <c r="AD66" s="76" t="n">
        <f aca="false">AD44+AD45</f>
        <v>191210.306694155</v>
      </c>
      <c r="AE66" s="76" t="n">
        <f aca="false">AE44+AE45</f>
        <v>191543.15618474</v>
      </c>
      <c r="AF66" s="76" t="n">
        <f aca="false">AF44+AF45</f>
        <v>198909.689206266</v>
      </c>
      <c r="AG66" s="76" t="n">
        <f aca="false">AG44+AG45</f>
        <v>206361.601565639</v>
      </c>
      <c r="AH66" s="76" t="n">
        <f aca="false">AH44+AH45</f>
        <v>213890.355329075</v>
      </c>
      <c r="AI66" s="76" t="n">
        <f aca="false">AI44+AI45</f>
        <v>221488.266356168</v>
      </c>
      <c r="AJ66" s="76" t="n">
        <f aca="false">AJ44+AJ45</f>
        <v>228632.932520551</v>
      </c>
      <c r="AK66" s="76" t="n">
        <f aca="false">AK44+AK45</f>
        <v>233170.727268496</v>
      </c>
      <c r="AL66" s="76" t="n">
        <f aca="false">AL44+AL45</f>
        <v>237254.742541646</v>
      </c>
      <c r="AM66" s="76" t="n">
        <f aca="false">AM44+AM45</f>
        <v>240930.356287482</v>
      </c>
    </row>
    <row r="67" customFormat="false" ht="15" hidden="false" customHeight="true" outlineLevel="0" collapsed="false">
      <c r="A67" s="16" t="s">
        <v>10</v>
      </c>
      <c r="C67" s="76" t="n">
        <f aca="false">C56</f>
        <v>0</v>
      </c>
      <c r="D67" s="76" t="n">
        <f aca="false">D56</f>
        <v>950</v>
      </c>
      <c r="E67" s="76" t="n">
        <f aca="false">E56</f>
        <v>950</v>
      </c>
      <c r="F67" s="76" t="n">
        <f aca="false">F56</f>
        <v>950</v>
      </c>
      <c r="G67" s="76" t="n">
        <f aca="false">G56</f>
        <v>9484.4</v>
      </c>
      <c r="H67" s="76" t="n">
        <f aca="false">H56</f>
        <v>14703.6</v>
      </c>
      <c r="I67" s="76" t="n">
        <f aca="false">I56</f>
        <v>18922.8</v>
      </c>
      <c r="J67" s="76" t="n">
        <f aca="false">J56</f>
        <v>20142</v>
      </c>
      <c r="K67" s="76" t="n">
        <f aca="false">K56</f>
        <v>21361.2</v>
      </c>
      <c r="L67" s="76" t="n">
        <f aca="false">L56</f>
        <v>22580.4</v>
      </c>
      <c r="M67" s="76" t="n">
        <f aca="false">M56</f>
        <v>28799.6</v>
      </c>
      <c r="N67" s="76" t="n">
        <f aca="false">N56</f>
        <v>30018.8</v>
      </c>
      <c r="O67" s="76" t="n">
        <f aca="false">O56</f>
        <v>31588</v>
      </c>
      <c r="P67" s="76" t="n">
        <f aca="false">P56</f>
        <v>40513.696</v>
      </c>
      <c r="Q67" s="76" t="n">
        <f aca="false">Q56</f>
        <v>42196.192</v>
      </c>
      <c r="R67" s="76" t="n">
        <f aca="false">R56</f>
        <v>42744.832</v>
      </c>
      <c r="S67" s="76" t="n">
        <f aca="false">S56</f>
        <v>44940.16</v>
      </c>
      <c r="T67" s="76" t="n">
        <f aca="false">T56</f>
        <v>46403.2</v>
      </c>
      <c r="U67" s="76" t="n">
        <f aca="false">U56</f>
        <v>49866.24</v>
      </c>
      <c r="V67" s="76" t="n">
        <f aca="false">V56</f>
        <v>51329.28</v>
      </c>
      <c r="W67" s="76" t="n">
        <f aca="false">W56</f>
        <v>52792.32</v>
      </c>
      <c r="X67" s="76" t="n">
        <f aca="false">X56</f>
        <v>54255.36</v>
      </c>
      <c r="Y67" s="76" t="n">
        <f aca="false">Y56</f>
        <v>55718.4</v>
      </c>
      <c r="Z67" s="76" t="n">
        <f aca="false">Z56</f>
        <v>57181.44</v>
      </c>
      <c r="AA67" s="76" t="n">
        <f aca="false">AA56</f>
        <v>58644.48</v>
      </c>
      <c r="AB67" s="76" t="n">
        <f aca="false">AB56</f>
        <v>66203.648</v>
      </c>
      <c r="AC67" s="76" t="n">
        <f aca="false">AC56</f>
        <v>67886.144</v>
      </c>
      <c r="AD67" s="76" t="n">
        <f aca="false">AD56</f>
        <v>67556.96</v>
      </c>
      <c r="AE67" s="76" t="n">
        <f aca="false">AE56</f>
        <v>64996.64</v>
      </c>
      <c r="AF67" s="76" t="n">
        <f aca="false">AF56</f>
        <v>66459.68</v>
      </c>
      <c r="AG67" s="76" t="n">
        <f aca="false">AG56</f>
        <v>67922.72</v>
      </c>
      <c r="AH67" s="76" t="n">
        <f aca="false">AH56</f>
        <v>69385.76</v>
      </c>
      <c r="AI67" s="76" t="n">
        <f aca="false">AI56</f>
        <v>70848.8</v>
      </c>
      <c r="AJ67" s="76" t="n">
        <f aca="false">AJ56</f>
        <v>72068</v>
      </c>
      <c r="AK67" s="76" t="n">
        <f aca="false">AK56</f>
        <v>72068</v>
      </c>
      <c r="AL67" s="76" t="n">
        <f aca="false">AL56</f>
        <v>72068</v>
      </c>
      <c r="AM67" s="76" t="n">
        <f aca="false">AM56</f>
        <v>72068</v>
      </c>
    </row>
    <row r="68" customFormat="false" ht="15" hidden="false" customHeight="true" outlineLevel="0" collapsed="false">
      <c r="A68" s="16" t="s">
        <v>502</v>
      </c>
      <c r="C68" s="76" t="n">
        <f aca="false">C58</f>
        <v>0</v>
      </c>
      <c r="D68" s="76" t="n">
        <f aca="false">D58</f>
        <v>1479.4845</v>
      </c>
      <c r="E68" s="76" t="n">
        <f aca="false">E58</f>
        <v>5471.009457625</v>
      </c>
      <c r="F68" s="76" t="n">
        <f aca="false">F58</f>
        <v>8283.3149756125</v>
      </c>
      <c r="G68" s="76" t="n">
        <f aca="false">G58</f>
        <v>10445.4734223325</v>
      </c>
      <c r="H68" s="76" t="n">
        <f aca="false">H58</f>
        <v>14952.8654520961</v>
      </c>
      <c r="I68" s="76" t="n">
        <f aca="false">I58</f>
        <v>19602.562954724</v>
      </c>
      <c r="J68" s="76" t="n">
        <f aca="false">J58</f>
        <v>25065.9848027516</v>
      </c>
      <c r="K68" s="76" t="n">
        <f aca="false">K58</f>
        <v>30924.859881112</v>
      </c>
      <c r="L68" s="76" t="n">
        <f aca="false">L58</f>
        <v>36718.8805520008</v>
      </c>
      <c r="M68" s="76" t="n">
        <f aca="false">M58</f>
        <v>41900.4530641892</v>
      </c>
      <c r="N68" s="76" t="n">
        <f aca="false">N58</f>
        <v>48475.5325479258</v>
      </c>
      <c r="O68" s="76" t="n">
        <f aca="false">O58</f>
        <v>53700.4071391332</v>
      </c>
      <c r="P68" s="76" t="n">
        <f aca="false">P58</f>
        <v>60354.6149592199</v>
      </c>
      <c r="Q68" s="76" t="n">
        <f aca="false">Q58</f>
        <v>68649.0933350245</v>
      </c>
      <c r="R68" s="76" t="n">
        <f aca="false">R58</f>
        <v>75123.453300912</v>
      </c>
      <c r="S68" s="76" t="n">
        <f aca="false">S58</f>
        <v>79483.2895947609</v>
      </c>
      <c r="T68" s="76" t="n">
        <f aca="false">T58</f>
        <v>85958.7257815591</v>
      </c>
      <c r="U68" s="76" t="n">
        <f aca="false">U58</f>
        <v>91635.7988099032</v>
      </c>
      <c r="V68" s="76" t="n">
        <f aca="false">V58</f>
        <v>98343.8274181701</v>
      </c>
      <c r="W68" s="76" t="n">
        <f aca="false">W58</f>
        <v>104801.030097453</v>
      </c>
      <c r="X68" s="76" t="n">
        <f aca="false">X58</f>
        <v>111367.933978608</v>
      </c>
      <c r="Y68" s="76" t="n">
        <f aca="false">Y58</f>
        <v>118033.568941447</v>
      </c>
      <c r="Z68" s="76" t="n">
        <f aca="false">Z58</f>
        <v>124788.061877802</v>
      </c>
      <c r="AA68" s="76" t="n">
        <f aca="false">AA58</f>
        <v>131622.526990322</v>
      </c>
      <c r="AB68" s="76" t="n">
        <f aca="false">AB58</f>
        <v>143151.537855869</v>
      </c>
      <c r="AC68" s="76" t="n">
        <f aca="false">AC58</f>
        <v>152566.118924967</v>
      </c>
      <c r="AD68" s="76" t="n">
        <f aca="false">AD58</f>
        <v>160336.370229025</v>
      </c>
      <c r="AE68" s="76" t="n">
        <f aca="false">AE58</f>
        <v>165488.907063573</v>
      </c>
      <c r="AF68" s="76" t="n">
        <f aca="false">AF58</f>
        <v>172080.942310515</v>
      </c>
      <c r="AG68" s="76" t="n">
        <f aca="false">AG58</f>
        <v>178771.123806564</v>
      </c>
      <c r="AH68" s="76" t="n">
        <f aca="false">AH58</f>
        <v>185932.504217402</v>
      </c>
      <c r="AI68" s="76" t="n">
        <f aca="false">AI58</f>
        <v>192803.853232362</v>
      </c>
      <c r="AJ68" s="76" t="n">
        <f aca="false">AJ58</f>
        <v>199556.384887626</v>
      </c>
      <c r="AK68" s="76" t="n">
        <f aca="false">AK58</f>
        <v>205322.629498863</v>
      </c>
      <c r="AL68" s="76" t="n">
        <f aca="false">AL58</f>
        <v>210754.044152519</v>
      </c>
      <c r="AM68" s="76" t="n">
        <f aca="false">AM58</f>
        <v>215530.581777267</v>
      </c>
    </row>
    <row r="69" customFormat="false" ht="15" hidden="false" customHeight="true" outlineLevel="0" collapsed="false">
      <c r="A69" s="16" t="s">
        <v>58</v>
      </c>
      <c r="C69" s="76" t="n">
        <f aca="false">C77+C81+C85+C89</f>
        <v>17156</v>
      </c>
      <c r="D69" s="76" t="n">
        <f aca="false">D77+D81+D85+D89</f>
        <v>12945.5</v>
      </c>
      <c r="E69" s="76" t="n">
        <f aca="false">E77+E81+E85+E89</f>
        <v>25373.5</v>
      </c>
      <c r="F69" s="76" t="n">
        <f aca="false">F77+F81+F85+F89</f>
        <v>37153.5</v>
      </c>
      <c r="G69" s="76" t="n">
        <f aca="false">G77+G81+G85+G89</f>
        <v>49382.5</v>
      </c>
      <c r="H69" s="76" t="n">
        <f aca="false">H77+H81+H85+H89</f>
        <v>60189.5</v>
      </c>
      <c r="I69" s="76" t="n">
        <f aca="false">I77+I81+I85+I89</f>
        <v>72570.5</v>
      </c>
      <c r="J69" s="76" t="n">
        <f aca="false">J77+J81+J85+J89</f>
        <v>83813</v>
      </c>
      <c r="K69" s="76" t="n">
        <f aca="false">K77+K81+K85+K89</f>
        <v>95914.5</v>
      </c>
      <c r="L69" s="76" t="n">
        <f aca="false">L77+L81+L85+L89</f>
        <v>106623</v>
      </c>
      <c r="M69" s="76" t="n">
        <f aca="false">M77+M81+M85+M89</f>
        <v>117175</v>
      </c>
      <c r="N69" s="76" t="n">
        <f aca="false">N77+N81+N85+N89</f>
        <v>126748</v>
      </c>
      <c r="O69" s="76" t="n">
        <f aca="false">O77+O81+O85+O89</f>
        <v>146330</v>
      </c>
      <c r="P69" s="76" t="n">
        <f aca="false">P77+P81+P85+P89</f>
        <v>156212</v>
      </c>
      <c r="Q69" s="76" t="n">
        <f aca="false">Q77+Q81+Q85+Q89</f>
        <v>166554</v>
      </c>
      <c r="R69" s="76" t="n">
        <f aca="false">R77+R81+R85+R89</f>
        <v>170869.5</v>
      </c>
      <c r="S69" s="76" t="n">
        <f aca="false">S77+S81+S85+S89</f>
        <v>182223</v>
      </c>
      <c r="T69" s="76" t="n">
        <f aca="false">T77+T81+T85+T89</f>
        <v>191640</v>
      </c>
      <c r="U69" s="76" t="n">
        <f aca="false">U77+U81+U85+U89</f>
        <v>203353</v>
      </c>
      <c r="V69" s="76" t="n">
        <f aca="false">V77+V81+V85+V89</f>
        <v>214983</v>
      </c>
      <c r="W69" s="76" t="n">
        <f aca="false">W77+W81+W85+W89</f>
        <v>227063</v>
      </c>
      <c r="X69" s="76" t="n">
        <f aca="false">X77+X81+X85+X89</f>
        <v>238739</v>
      </c>
      <c r="Y69" s="76" t="n">
        <f aca="false">Y77+Y81+Y85+Y89</f>
        <v>250941</v>
      </c>
      <c r="Z69" s="76" t="n">
        <f aca="false">Z77+Z81+Z85+Z89</f>
        <v>262176</v>
      </c>
      <c r="AA69" s="76" t="n">
        <f aca="false">AA77+AA81+AA85+AA89</f>
        <v>292992</v>
      </c>
      <c r="AB69" s="76" t="n">
        <f aca="false">AB77+AB81+AB85+AB89</f>
        <v>305677</v>
      </c>
      <c r="AC69" s="76" t="n">
        <f aca="false">AC77+AC81+AC85+AC89</f>
        <v>315371</v>
      </c>
      <c r="AD69" s="76" t="n">
        <f aca="false">AD77+AD81+AD85+AD89</f>
        <v>315942</v>
      </c>
      <c r="AE69" s="76" t="n">
        <f aca="false">AE77+AE81+AE85+AE89</f>
        <v>330201</v>
      </c>
      <c r="AF69" s="76" t="n">
        <f aca="false">AF77+AF81+AF85+AF89</f>
        <v>342503</v>
      </c>
      <c r="AG69" s="76" t="n">
        <f aca="false">AG77+AG81+AG85+AG89</f>
        <v>352789</v>
      </c>
      <c r="AH69" s="76" t="n">
        <f aca="false">AH77+AH81+AH85+AH89</f>
        <v>364663</v>
      </c>
      <c r="AI69" s="76" t="n">
        <f aca="false">AI77+AI81+AI85+AI89</f>
        <v>376300</v>
      </c>
      <c r="AJ69" s="76" t="n">
        <f aca="false">AJ77+AJ81+AJ85+AJ89</f>
        <v>383114</v>
      </c>
      <c r="AK69" s="76" t="n">
        <f aca="false">AK77+AK81+AK85+AK89</f>
        <v>390044</v>
      </c>
      <c r="AL69" s="76" t="n">
        <f aca="false">AL77+AL81+AL85+AL89</f>
        <v>396728.5</v>
      </c>
      <c r="AM69" s="76" t="n">
        <f aca="false">AM77+AM81+AM85+AM89</f>
        <v>394464.5</v>
      </c>
    </row>
    <row r="70" customFormat="false" ht="15" hidden="false" customHeight="true" outlineLevel="0" collapsed="false">
      <c r="A70" s="16" t="s">
        <v>503</v>
      </c>
      <c r="C70" s="76" t="n">
        <f aca="false">C60</f>
        <v>2599</v>
      </c>
      <c r="D70" s="76" t="n">
        <f aca="false">D60</f>
        <v>0</v>
      </c>
      <c r="E70" s="76" t="n">
        <f aca="false">E60</f>
        <v>0</v>
      </c>
      <c r="F70" s="76" t="n">
        <f aca="false">F60</f>
        <v>0</v>
      </c>
      <c r="G70" s="76" t="n">
        <f aca="false">G60</f>
        <v>0</v>
      </c>
      <c r="H70" s="76" t="n">
        <f aca="false">H60</f>
        <v>0</v>
      </c>
      <c r="I70" s="76" t="n">
        <f aca="false">I60</f>
        <v>0</v>
      </c>
      <c r="J70" s="76" t="n">
        <f aca="false">J60</f>
        <v>0</v>
      </c>
      <c r="K70" s="76" t="n">
        <f aca="false">K60</f>
        <v>0</v>
      </c>
      <c r="L70" s="76" t="n">
        <f aca="false">L60</f>
        <v>0</v>
      </c>
      <c r="M70" s="76" t="n">
        <f aca="false">M60</f>
        <v>0</v>
      </c>
      <c r="N70" s="76" t="n">
        <f aca="false">N60</f>
        <v>0</v>
      </c>
      <c r="O70" s="76" t="n">
        <f aca="false">O60</f>
        <v>0</v>
      </c>
      <c r="P70" s="76" t="n">
        <f aca="false">P60</f>
        <v>0</v>
      </c>
      <c r="Q70" s="76" t="n">
        <f aca="false">Q60</f>
        <v>0</v>
      </c>
      <c r="R70" s="76" t="n">
        <f aca="false">R60</f>
        <v>0</v>
      </c>
      <c r="S70" s="76" t="n">
        <f aca="false">S60</f>
        <v>0</v>
      </c>
      <c r="T70" s="76" t="n">
        <f aca="false">T60</f>
        <v>0</v>
      </c>
      <c r="U70" s="76" t="n">
        <f aca="false">U60</f>
        <v>0</v>
      </c>
      <c r="V70" s="76" t="n">
        <f aca="false">V60</f>
        <v>0</v>
      </c>
      <c r="W70" s="76" t="n">
        <f aca="false">W60</f>
        <v>0</v>
      </c>
      <c r="X70" s="76" t="n">
        <f aca="false">X60</f>
        <v>0</v>
      </c>
      <c r="Y70" s="76" t="n">
        <f aca="false">Y60</f>
        <v>0</v>
      </c>
      <c r="Z70" s="76" t="n">
        <f aca="false">Z60</f>
        <v>0</v>
      </c>
      <c r="AA70" s="76" t="n">
        <f aca="false">AA60</f>
        <v>0</v>
      </c>
      <c r="AB70" s="76" t="n">
        <f aca="false">AB60</f>
        <v>0</v>
      </c>
      <c r="AC70" s="76" t="n">
        <f aca="false">AC60</f>
        <v>0</v>
      </c>
      <c r="AD70" s="76" t="n">
        <f aca="false">AD60</f>
        <v>0</v>
      </c>
      <c r="AE70" s="76" t="n">
        <f aca="false">AE60</f>
        <v>0</v>
      </c>
      <c r="AF70" s="76" t="n">
        <f aca="false">AF60</f>
        <v>0</v>
      </c>
      <c r="AG70" s="76" t="n">
        <f aca="false">AG60</f>
        <v>0</v>
      </c>
      <c r="AH70" s="76" t="n">
        <f aca="false">AH60</f>
        <v>0</v>
      </c>
      <c r="AI70" s="76" t="n">
        <f aca="false">AI60</f>
        <v>0</v>
      </c>
      <c r="AJ70" s="76" t="n">
        <f aca="false">AJ60</f>
        <v>0</v>
      </c>
      <c r="AK70" s="76" t="n">
        <f aca="false">AK60</f>
        <v>0</v>
      </c>
      <c r="AL70" s="76" t="n">
        <f aca="false">AL60</f>
        <v>0</v>
      </c>
      <c r="AM70" s="76" t="n">
        <f aca="false">AM60</f>
        <v>0</v>
      </c>
    </row>
    <row r="71" customFormat="false" ht="15" hidden="false" customHeight="true" outlineLevel="0" collapsed="false">
      <c r="A71" s="16" t="s">
        <v>504</v>
      </c>
      <c r="C71" s="76" t="n">
        <f aca="false">IF(C2=0,Допущения!$B$51,IF(C2=1,Допущения!$B$52,0))</f>
        <v>20000</v>
      </c>
      <c r="D71" s="76" t="n">
        <f aca="false">IF(D2=0,Допущения!$B$51,IF(D2=1,Допущения!$B$52,0))</f>
        <v>5000</v>
      </c>
      <c r="E71" s="76" t="n">
        <f aca="false">IF(E2=0,Допущения!$B$51,IF(E2=1,Допущения!$B$52,0))</f>
        <v>0</v>
      </c>
      <c r="F71" s="76" t="n">
        <f aca="false">IF(F2=0,Допущения!$B$51,IF(F2=1,Допущения!$B$52,0))</f>
        <v>0</v>
      </c>
      <c r="G71" s="76" t="n">
        <f aca="false">IF(G2=0,Допущения!$B$51,IF(G2=1,Допущения!$B$52,0))</f>
        <v>0</v>
      </c>
      <c r="H71" s="76" t="n">
        <f aca="false">IF(H2=0,Допущения!$B$51,IF(H2=1,Допущения!$B$52,0))</f>
        <v>0</v>
      </c>
      <c r="I71" s="76" t="n">
        <f aca="false">IF(I2=0,Допущения!$B$51,IF(I2=1,Допущения!$B$52,0))</f>
        <v>0</v>
      </c>
      <c r="J71" s="76" t="n">
        <f aca="false">IF(J2=0,Допущения!$B$51,IF(J2=1,Допущения!$B$52,0))</f>
        <v>0</v>
      </c>
      <c r="K71" s="76" t="n">
        <f aca="false">IF(K2=0,Допущения!$B$51,IF(K2=1,Допущения!$B$52,0))</f>
        <v>0</v>
      </c>
      <c r="L71" s="76" t="n">
        <f aca="false">IF(L2=0,Допущения!$B$51,IF(L2=1,Допущения!$B$52,0))</f>
        <v>0</v>
      </c>
      <c r="M71" s="76" t="n">
        <f aca="false">IF(M2=0,Допущения!$B$51,IF(M2=1,Допущения!$B$52,0))</f>
        <v>0</v>
      </c>
      <c r="N71" s="76" t="n">
        <f aca="false">IF(N2=0,Допущения!$B$51,IF(N2=1,Допущения!$B$52,0))</f>
        <v>0</v>
      </c>
      <c r="O71" s="76" t="n">
        <f aca="false">IF(O2=0,Допущения!$B$51,IF(O2=1,Допущения!$B$52,0))</f>
        <v>0</v>
      </c>
      <c r="P71" s="76" t="n">
        <f aca="false">IF(P2=0,Допущения!$B$51,IF(P2=1,Допущения!$B$52,0))</f>
        <v>0</v>
      </c>
      <c r="Q71" s="76" t="n">
        <f aca="false">IF(Q2=0,Допущения!$B$51,IF(Q2=1,Допущения!$B$52,0))</f>
        <v>0</v>
      </c>
      <c r="R71" s="76" t="n">
        <f aca="false">IF(R2=0,Допущения!$B$51,IF(R2=1,Допущения!$B$52,0))</f>
        <v>0</v>
      </c>
      <c r="S71" s="76" t="n">
        <f aca="false">IF(S2=0,Допущения!$B$51,IF(S2=1,Допущения!$B$52,0))</f>
        <v>0</v>
      </c>
      <c r="T71" s="76" t="n">
        <f aca="false">IF(T2=0,Допущения!$B$51,IF(T2=1,Допущения!$B$52,0))</f>
        <v>0</v>
      </c>
      <c r="U71" s="76" t="n">
        <f aca="false">IF(U2=0,Допущения!$B$51,IF(U2=1,Допущения!$B$52,0))</f>
        <v>0</v>
      </c>
      <c r="V71" s="76" t="n">
        <f aca="false">IF(V2=0,Допущения!$B$51,IF(V2=1,Допущения!$B$52,0))</f>
        <v>0</v>
      </c>
      <c r="W71" s="76" t="n">
        <f aca="false">IF(W2=0,Допущения!$B$51,IF(W2=1,Допущения!$B$52,0))</f>
        <v>0</v>
      </c>
      <c r="X71" s="76" t="n">
        <f aca="false">IF(X2=0,Допущения!$B$51,IF(X2=1,Допущения!$B$52,0))</f>
        <v>0</v>
      </c>
      <c r="Y71" s="76" t="n">
        <f aca="false">IF(Y2=0,Допущения!$B$51,IF(Y2=1,Допущения!$B$52,0))</f>
        <v>0</v>
      </c>
      <c r="Z71" s="76" t="n">
        <f aca="false">IF(Z2=0,Допущения!$B$51,IF(Z2=1,Допущения!$B$52,0))</f>
        <v>0</v>
      </c>
      <c r="AA71" s="76" t="n">
        <f aca="false">IF(AA2=0,Допущения!$B$51,IF(AA2=1,Допущения!$B$52,0))</f>
        <v>0</v>
      </c>
      <c r="AB71" s="76" t="n">
        <f aca="false">IF(AB2=0,Допущения!$B$51,IF(AB2=1,Допущения!$B$52,0))</f>
        <v>0</v>
      </c>
      <c r="AC71" s="76" t="n">
        <f aca="false">IF(AC2=0,Допущения!$B$51,IF(AC2=1,Допущения!$B$52,0))</f>
        <v>0</v>
      </c>
      <c r="AD71" s="76" t="n">
        <f aca="false">IF(AD2=0,Допущения!$B$51,IF(AD2=1,Допущения!$B$52,0))</f>
        <v>0</v>
      </c>
      <c r="AE71" s="76" t="n">
        <f aca="false">IF(AE2=0,Допущения!$B$51,IF(AE2=1,Допущения!$B$52,0))</f>
        <v>0</v>
      </c>
      <c r="AF71" s="76" t="n">
        <f aca="false">IF(AF2=0,Допущения!$B$51,IF(AF2=1,Допущения!$B$52,0))</f>
        <v>0</v>
      </c>
      <c r="AG71" s="76" t="n">
        <f aca="false">IF(AG2=0,Допущения!$B$51,IF(AG2=1,Допущения!$B$52,0))</f>
        <v>0</v>
      </c>
      <c r="AH71" s="76" t="n">
        <f aca="false">IF(AH2=0,Допущения!$B$51,IF(AH2=1,Допущения!$B$52,0))</f>
        <v>0</v>
      </c>
      <c r="AI71" s="76" t="n">
        <f aca="false">IF(AI2=0,Допущения!$B$51,IF(AI2=1,Допущения!$B$52,0))</f>
        <v>0</v>
      </c>
      <c r="AJ71" s="76" t="n">
        <f aca="false">IF(AJ2=0,Допущения!$B$51,IF(AJ2=1,Допущения!$B$52,0))</f>
        <v>0</v>
      </c>
      <c r="AK71" s="76" t="n">
        <f aca="false">IF(AK2=0,Допущения!$B$51,IF(AK2=1,Допущения!$B$52,0))</f>
        <v>0</v>
      </c>
      <c r="AL71" s="76" t="n">
        <f aca="false">IF(AL2=0,Допущения!$B$51,IF(AL2=1,Допущения!$B$52,0))</f>
        <v>0</v>
      </c>
      <c r="AM71" s="76" t="n">
        <f aca="false">IF(AM2=0,Допущения!$B$51,IF(AM2=1,Допущения!$B$52,0))</f>
        <v>0</v>
      </c>
    </row>
    <row r="72" customFormat="false" ht="15" hidden="false" customHeight="true" outlineLevel="0" collapsed="false">
      <c r="A72" s="27" t="s">
        <v>505</v>
      </c>
      <c r="C72" s="32" t="n">
        <f aca="false">C65-C66-C67-C68-C69-C70+C71</f>
        <v>245</v>
      </c>
      <c r="D72" s="32" t="n">
        <f aca="false">D65-D66-D67-D68-D69-D70+D71</f>
        <v>-4542.78802</v>
      </c>
      <c r="E72" s="32" t="n">
        <f aca="false">E65-E66-E67-E68-E69-E70+E71</f>
        <v>-4025.45063712499</v>
      </c>
      <c r="F72" s="32" t="n">
        <f aca="false">F65-F66-F67-F68-F69-F70+F71</f>
        <v>8076.4558878375</v>
      </c>
      <c r="G72" s="32" t="n">
        <f aca="false">G65-G66-G67-G68-G69-G70+G71</f>
        <v>6969.89943877249</v>
      </c>
      <c r="H72" s="32" t="n">
        <f aca="false">H65-H66-H67-H68-H69-H70+H71</f>
        <v>20187.3129168984</v>
      </c>
      <c r="I72" s="32" t="n">
        <f aca="false">I65-I66-I67-I68-I69-I70+I71</f>
        <v>33959.911433371</v>
      </c>
      <c r="J72" s="32" t="n">
        <f aca="false">J65-J66-J67-J68-J69-J70+J71</f>
        <v>51111.798264534</v>
      </c>
      <c r="K72" s="32" t="n">
        <f aca="false">K65-K66-K67-K68-K69-K70+K71</f>
        <v>67872.253259445</v>
      </c>
      <c r="L72" s="32" t="n">
        <f aca="false">L65-L66-L67-L68-L69-L70+L71</f>
        <v>86867.2819165006</v>
      </c>
      <c r="M72" s="32" t="n">
        <f aca="false">M65-M66-M67-M68-M69-M70+M71</f>
        <v>102330.306061462</v>
      </c>
      <c r="N72" s="32" t="n">
        <f aca="false">N65-N66-N67-N68-N69-N70+N71</f>
        <v>123007.96583116</v>
      </c>
      <c r="O72" s="32" t="n">
        <f aca="false">O65-O66-O67-O68-O69-O70+O71</f>
        <v>132348.978830044</v>
      </c>
      <c r="P72" s="32" t="n">
        <f aca="false">P65-P66-P67-P68-P69-P70+P71</f>
        <v>149677.52830784</v>
      </c>
      <c r="Q72" s="32" t="n">
        <f aca="false">Q65-Q66-Q67-Q68-Q69-Q70+Q71</f>
        <v>183754.208495189</v>
      </c>
      <c r="R72" s="32" t="n">
        <f aca="false">R65-R66-R67-R68-R69-R70+R71</f>
        <v>213668.3441849</v>
      </c>
      <c r="S72" s="32" t="n">
        <f aca="false">S65-S66-S67-S68-S69-S70+S71</f>
        <v>226867.26498939</v>
      </c>
      <c r="T72" s="32" t="n">
        <f aca="false">T65-T66-T67-T68-T69-T70+T71</f>
        <v>237564.285075777</v>
      </c>
      <c r="U72" s="32" t="n">
        <f aca="false">U65-U66-U67-U68-U69-U70+U71</f>
        <v>254270.597375699</v>
      </c>
      <c r="V72" s="32" t="n">
        <f aca="false">V65-V66-V67-V68-V69-V70+V71</f>
        <v>272758.182277272</v>
      </c>
      <c r="W72" s="32" t="n">
        <f aca="false">W65-W66-W67-W68-W69-W70+W71</f>
        <v>291702.898471245</v>
      </c>
      <c r="X72" s="32" t="n">
        <f aca="false">X65-X66-X67-X68-X69-X70+X71</f>
        <v>311532.58829042</v>
      </c>
      <c r="Y72" s="32" t="n">
        <f aca="false">Y65-Y66-Y67-Y68-Y69-Y70+Y71</f>
        <v>331269.154372278</v>
      </c>
      <c r="Z72" s="32" t="n">
        <f aca="false">Z65-Z66-Z67-Z68-Z69-Z70+Z71</f>
        <v>352362.309090551</v>
      </c>
      <c r="AA72" s="32" t="n">
        <f aca="false">AA65-AA66-AA67-AA68-AA69-AA70+AA71</f>
        <v>354225.093581595</v>
      </c>
      <c r="AB72" s="32" t="n">
        <f aca="false">AB65-AB66-AB67-AB68-AB69-AB70+AB71</f>
        <v>380322.014720057</v>
      </c>
      <c r="AC72" s="32" t="n">
        <f aca="false">AC65-AC66-AC67-AC68-AC69-AC70+AC71</f>
        <v>435465.689349946</v>
      </c>
      <c r="AD72" s="32" t="n">
        <f aca="false">AD65-AD66-AD67-AD68-AD69-AD70+AD71</f>
        <v>476412.797904537</v>
      </c>
      <c r="AE72" s="32" t="n">
        <f aca="false">AE65-AE66-AE67-AE68-AE69-AE70+AE71</f>
        <v>489490.272175233</v>
      </c>
      <c r="AF72" s="32" t="n">
        <f aca="false">AF65-AF66-AF67-AF68-AF69-AF70+AF71</f>
        <v>493281.81223681</v>
      </c>
      <c r="AG72" s="32" t="n">
        <f aca="false">AG65-AG66-AG67-AG68-AG69-AG70+AG71</f>
        <v>514948.142272829</v>
      </c>
      <c r="AH72" s="32" t="n">
        <f aca="false">AH65-AH66-AH67-AH68-AH69-AH70+AH71</f>
        <v>535029.888955251</v>
      </c>
      <c r="AI72" s="32" t="n">
        <f aca="false">AI65-AI66-AI67-AI68-AI69-AI70+AI71</f>
        <v>556065.821038626</v>
      </c>
      <c r="AJ72" s="32" t="n">
        <f aca="false">AJ65-AJ66-AJ67-AJ68-AJ69-AJ70+AJ71</f>
        <v>581952.621694264</v>
      </c>
      <c r="AK72" s="32" t="n">
        <f aca="false">AK65-AK66-AK67-AK68-AK69-AK70+AK71</f>
        <v>605215.811704837</v>
      </c>
      <c r="AL72" s="32" t="n">
        <f aca="false">AL65-AL66-AL67-AL68-AL69-AL70+AL71</f>
        <v>621580.903410812</v>
      </c>
      <c r="AM72" s="32" t="n">
        <f aca="false">AM65-AM66-AM67-AM68-AM69-AM70+AM71</f>
        <v>645026.85550973</v>
      </c>
    </row>
    <row r="73" customFormat="false" ht="15" hidden="false" customHeight="true" outlineLevel="0" collapsed="false">
      <c r="A73" s="27" t="s">
        <v>506</v>
      </c>
      <c r="C73" s="32" t="n">
        <f aca="false">C72</f>
        <v>245</v>
      </c>
      <c r="D73" s="32" t="n">
        <f aca="false">C73+D72</f>
        <v>-4297.78802</v>
      </c>
      <c r="E73" s="32" t="n">
        <f aca="false">D73+E72</f>
        <v>-8323.23865712499</v>
      </c>
      <c r="F73" s="32" t="n">
        <f aca="false">E73+F72</f>
        <v>-246.782769287491</v>
      </c>
      <c r="G73" s="32" t="n">
        <f aca="false">F73+G72</f>
        <v>6723.116669485</v>
      </c>
      <c r="H73" s="32" t="n">
        <f aca="false">G73+H72</f>
        <v>26910.4295863834</v>
      </c>
      <c r="I73" s="32" t="n">
        <f aca="false">H73+I72</f>
        <v>60870.3410197544</v>
      </c>
      <c r="J73" s="32" t="n">
        <f aca="false">I73+J72</f>
        <v>111982.139284288</v>
      </c>
      <c r="K73" s="32" t="n">
        <f aca="false">J73+K72</f>
        <v>179854.392543733</v>
      </c>
      <c r="L73" s="32" t="n">
        <f aca="false">K73+L72</f>
        <v>266721.674460234</v>
      </c>
      <c r="M73" s="32" t="n">
        <f aca="false">L73+M72</f>
        <v>369051.980521696</v>
      </c>
      <c r="N73" s="32" t="n">
        <f aca="false">M73+N72</f>
        <v>492059.946352856</v>
      </c>
      <c r="O73" s="32" t="n">
        <f aca="false">N73+O72</f>
        <v>624408.9251829</v>
      </c>
      <c r="P73" s="32" t="n">
        <f aca="false">O73+P72</f>
        <v>774086.45349074</v>
      </c>
      <c r="Q73" s="32" t="n">
        <f aca="false">P73+Q72</f>
        <v>957840.66198593</v>
      </c>
      <c r="R73" s="32" t="n">
        <f aca="false">Q73+R72</f>
        <v>1171509.00617083</v>
      </c>
      <c r="S73" s="32" t="n">
        <f aca="false">R73+S72</f>
        <v>1398376.27116022</v>
      </c>
      <c r="T73" s="32" t="n">
        <f aca="false">S73+T72</f>
        <v>1635940.556236</v>
      </c>
      <c r="U73" s="32" t="n">
        <f aca="false">T73+U72</f>
        <v>1890211.1536117</v>
      </c>
      <c r="V73" s="32" t="n">
        <f aca="false">U73+V72</f>
        <v>2162969.33588897</v>
      </c>
      <c r="W73" s="32" t="n">
        <f aca="false">V73+W72</f>
        <v>2454672.23436021</v>
      </c>
      <c r="X73" s="32" t="n">
        <f aca="false">W73+X72</f>
        <v>2766204.82265063</v>
      </c>
      <c r="Y73" s="32" t="n">
        <f aca="false">X73+Y72</f>
        <v>3097473.97702291</v>
      </c>
      <c r="Z73" s="32" t="n">
        <f aca="false">Y73+Z72</f>
        <v>3449836.28611346</v>
      </c>
      <c r="AA73" s="32" t="n">
        <f aca="false">Z73+AA72</f>
        <v>3804061.37969506</v>
      </c>
      <c r="AB73" s="32" t="n">
        <f aca="false">AA73+AB72</f>
        <v>4184383.39441511</v>
      </c>
      <c r="AC73" s="32" t="n">
        <f aca="false">AB73+AC72</f>
        <v>4619849.08376506</v>
      </c>
      <c r="AD73" s="32" t="n">
        <f aca="false">AC73+AD72</f>
        <v>5096261.8816696</v>
      </c>
      <c r="AE73" s="32" t="n">
        <f aca="false">AD73+AE72</f>
        <v>5585752.15384483</v>
      </c>
      <c r="AF73" s="32" t="n">
        <f aca="false">AE73+AF72</f>
        <v>6079033.96608164</v>
      </c>
      <c r="AG73" s="32" t="n">
        <f aca="false">AF73+AG72</f>
        <v>6593982.10835447</v>
      </c>
      <c r="AH73" s="32" t="n">
        <f aca="false">AG73+AH72</f>
        <v>7129011.99730972</v>
      </c>
      <c r="AI73" s="32" t="n">
        <f aca="false">AH73+AI72</f>
        <v>7685077.81834835</v>
      </c>
      <c r="AJ73" s="32" t="n">
        <f aca="false">AI73+AJ72</f>
        <v>8267030.44004261</v>
      </c>
      <c r="AK73" s="32" t="n">
        <f aca="false">AJ73+AK72</f>
        <v>8872246.25174745</v>
      </c>
      <c r="AL73" s="32" t="n">
        <f aca="false">AK73+AL72</f>
        <v>9493827.15515826</v>
      </c>
      <c r="AM73" s="32" t="n">
        <f aca="false">AL73+AM72</f>
        <v>10138854.010668</v>
      </c>
    </row>
    <row r="74" customFormat="false" ht="15" hidden="false" customHeight="true" outlineLevel="0" collapsed="false">
      <c r="A74" s="29" t="s">
        <v>507</v>
      </c>
    </row>
    <row r="75" customFormat="false" ht="15" hidden="false" customHeight="true" outlineLevel="0" collapsed="false">
      <c r="A75" s="16" t="s">
        <v>508</v>
      </c>
      <c r="C75" s="73" t="n">
        <v>0</v>
      </c>
      <c r="D75" s="73" t="n">
        <f aca="false">C78</f>
        <v>1000</v>
      </c>
      <c r="E75" s="73" t="n">
        <f aca="false">D78</f>
        <v>1510.38</v>
      </c>
      <c r="F75" s="73" t="n">
        <f aca="false">E78</f>
        <v>2014.29</v>
      </c>
      <c r="G75" s="73" t="n">
        <f aca="false">F78</f>
        <v>2891.769</v>
      </c>
      <c r="H75" s="73" t="n">
        <f aca="false">G78</f>
        <v>3876.1721</v>
      </c>
      <c r="I75" s="73" t="n">
        <f aca="false">H78</f>
        <v>4850.56689</v>
      </c>
      <c r="J75" s="73" t="n">
        <f aca="false">I78</f>
        <v>5879.63686766667</v>
      </c>
      <c r="K75" s="73" t="n">
        <f aca="false">J78</f>
        <v>6894.6771809</v>
      </c>
      <c r="L75" s="73" t="n">
        <f aca="false">K78</f>
        <v>7928.85346281</v>
      </c>
      <c r="M75" s="73" t="n">
        <f aca="false">L78</f>
        <v>8967.01478319567</v>
      </c>
      <c r="N75" s="73" t="n">
        <f aca="false">M78</f>
        <v>10045.5253048761</v>
      </c>
      <c r="O75" s="73" t="n">
        <f aca="false">N78</f>
        <v>10952.1127743885</v>
      </c>
      <c r="P75" s="73" t="n">
        <f aca="false">O78</f>
        <v>12739.2254969496</v>
      </c>
      <c r="Q75" s="73" t="n">
        <f aca="false">P78</f>
        <v>13965.0917472547</v>
      </c>
      <c r="R75" s="73" t="n">
        <f aca="false">Q78</f>
        <v>14975.9126525292</v>
      </c>
      <c r="S75" s="73" t="n">
        <f aca="false">R78</f>
        <v>15581.0364272763</v>
      </c>
      <c r="T75" s="73" t="n">
        <f aca="false">S78</f>
        <v>16632.3383845487</v>
      </c>
      <c r="U75" s="73" t="n">
        <f aca="false">T78</f>
        <v>17671.8029460938</v>
      </c>
      <c r="V75" s="73" t="n">
        <f aca="false">U78</f>
        <v>18783.6250514844</v>
      </c>
      <c r="W75" s="73" t="n">
        <f aca="false">V78</f>
        <v>19903.580146336</v>
      </c>
      <c r="X75" s="73" t="n">
        <f aca="false">W78</f>
        <v>21018.8661317024</v>
      </c>
      <c r="Y75" s="73" t="n">
        <f aca="false">X78</f>
        <v>22167.9611185321</v>
      </c>
      <c r="Z75" s="73" t="n">
        <f aca="false">Y78</f>
        <v>23290.4954066789</v>
      </c>
      <c r="AA75" s="73" t="n">
        <f aca="false">Z78</f>
        <v>24477.136266011</v>
      </c>
      <c r="AB75" s="73" t="n">
        <f aca="false">AA78</f>
        <v>27069.4842394099</v>
      </c>
      <c r="AC75" s="73" t="n">
        <f aca="false">AB78</f>
        <v>28607.2782154689</v>
      </c>
      <c r="AD75" s="73" t="n">
        <f aca="false">AC78</f>
        <v>29656.879833922</v>
      </c>
      <c r="AE75" s="73" t="n">
        <f aca="false">AD78</f>
        <v>29972.9248105298</v>
      </c>
      <c r="AF75" s="73" t="n">
        <f aca="false">AE78</f>
        <v>31087.4100894768</v>
      </c>
      <c r="AG75" s="73" t="n">
        <f aca="false">AF78</f>
        <v>32234.8740405292</v>
      </c>
      <c r="AH75" s="73" t="n">
        <f aca="false">AG78</f>
        <v>33405.0299964762</v>
      </c>
      <c r="AI75" s="73" t="n">
        <f aca="false">AH78</f>
        <v>34538.6199568286</v>
      </c>
      <c r="AJ75" s="73" t="n">
        <f aca="false">AI78</f>
        <v>35677.3117211457</v>
      </c>
      <c r="AK75" s="73" t="n">
        <f aca="false">AJ78</f>
        <v>36461.6543090312</v>
      </c>
      <c r="AL75" s="73" t="n">
        <f aca="false">AK78</f>
        <v>37185.4346381281</v>
      </c>
      <c r="AM75" s="73" t="n">
        <f aca="false">AL78</f>
        <v>37853.3249343152</v>
      </c>
    </row>
    <row r="76" customFormat="false" ht="15" hidden="false" customHeight="true" outlineLevel="0" collapsed="false">
      <c r="A76" s="16" t="s">
        <v>509</v>
      </c>
      <c r="C76" s="73" t="n">
        <f aca="false">Допущения!$G$59</f>
        <v>1000</v>
      </c>
      <c r="D76" s="73" t="n">
        <f aca="false">IF(Допущения!$B$41*E21&gt;D75-D21,MAX(Допущения!$B$42,CEILING(Допущения!$B$41*E21-(D75-D21),50)),0)</f>
        <v>900</v>
      </c>
      <c r="E76" s="73" t="n">
        <f aca="false">IF(Допущения!$B$41*F21&gt;E75-E21,MAX(Допущения!$B$42,CEILING(Допущения!$B$41*F21-(E75-E21),50)),0)</f>
        <v>1650</v>
      </c>
      <c r="F76" s="73" t="n">
        <f aca="false">IF(Допущения!$B$41*G21&gt;F75-F21,MAX(Допущения!$B$42,CEILING(Допущения!$B$41*G21-(F75-F21),50)),0)</f>
        <v>2400</v>
      </c>
      <c r="G76" s="73" t="n">
        <f aca="false">IF(Допущения!$B$41*H21&gt;G75-G21,MAX(Допущения!$B$42,CEILING(Допущения!$B$41*H21-(G75-G21),50)),0)</f>
        <v>3200</v>
      </c>
      <c r="H76" s="73" t="n">
        <f aca="false">IF(Допущения!$B$41*I21&gt;H75-H21,MAX(Допущения!$B$42,CEILING(Допущения!$B$41*I21-(H75-H21),50)),0)</f>
        <v>3950</v>
      </c>
      <c r="I76" s="73" t="n">
        <f aca="false">IF(Допущения!$B$41*J21&gt;I75-I21,MAX(Допущения!$B$42,CEILING(Допущения!$B$41*J21-(I75-I21),50)),0)</f>
        <v>4750</v>
      </c>
      <c r="J76" s="73" t="n">
        <f aca="false">IF(Допущения!$B$41*K21&gt;J75-J21,MAX(Допущения!$B$42,CEILING(Допущения!$B$41*K21-(J75-J21),50)),0)</f>
        <v>5500</v>
      </c>
      <c r="K76" s="73" t="n">
        <f aca="false">IF(Допущения!$B$41*L21&gt;K75-K21,MAX(Допущения!$B$42,CEILING(Допущения!$B$41*L21-(K75-K21),50)),0)</f>
        <v>6300</v>
      </c>
      <c r="L76" s="73" t="n">
        <f aca="false">IF(Допущения!$B$41*M21&gt;L75-L21,MAX(Допущения!$B$42,CEILING(Допущения!$B$41*M21-(L75-L21),50)),0)</f>
        <v>7100</v>
      </c>
      <c r="M76" s="73" t="n">
        <f aca="false">IF(Допущения!$B$41*N21&gt;M75-M21,MAX(Допущения!$B$42,CEILING(Допущения!$B$41*N21-(M75-M21),50)),0)</f>
        <v>7950</v>
      </c>
      <c r="N76" s="73" t="n">
        <f aca="false">IF(Допущения!$B$41*O21&gt;N75-N21,MAX(Допущения!$B$42,CEILING(Допущения!$B$41*O21-(N75-N21),50)),0)</f>
        <v>8600</v>
      </c>
      <c r="O76" s="73" t="n">
        <f aca="false">IF(Допущения!$B$41*P21&gt;O75-O21,MAX(Допущения!$B$42,CEILING(Допущения!$B$41*P21-(O75-O21),50)),0)</f>
        <v>10200</v>
      </c>
      <c r="P76" s="73" t="n">
        <f aca="false">IF(Допущения!$B$41*Q21&gt;P75-P21,MAX(Допущения!$B$42,CEILING(Допущения!$B$41*Q21-(P75-P21),50)),0)</f>
        <v>11000</v>
      </c>
      <c r="Q76" s="73" t="n">
        <f aca="false">IF(Допущения!$B$41*R21&gt;Q75-Q21,MAX(Допущения!$B$42,CEILING(Допущения!$B$41*R21-(Q75-Q21),50)),0)</f>
        <v>11750</v>
      </c>
      <c r="R76" s="73" t="n">
        <f aca="false">IF(Допущения!$B$41*S21&gt;R75-R21,MAX(Допущения!$B$42,CEILING(Допущения!$B$41*S21-(R75-R21),50)),0)</f>
        <v>12100</v>
      </c>
      <c r="S76" s="73" t="n">
        <f aca="false">IF(Допущения!$B$41*T21&gt;S75-S21,MAX(Допущения!$B$42,CEILING(Допущения!$B$41*T21-(S75-S21),50)),0)</f>
        <v>13000</v>
      </c>
      <c r="T76" s="73" t="n">
        <f aca="false">IF(Допущения!$B$41*U21&gt;T75-T21,MAX(Допущения!$B$42,CEILING(Допущения!$B$41*U21-(T75-T21),50)),0)</f>
        <v>13800</v>
      </c>
      <c r="U76" s="73" t="n">
        <f aca="false">IF(Допущения!$B$41*V21&gt;U75-U21,MAX(Допущения!$B$42,CEILING(Допущения!$B$41*V21-(U75-U21),50)),0)</f>
        <v>14700</v>
      </c>
      <c r="V76" s="73" t="n">
        <f aca="false">IF(Допущения!$B$41*W21&gt;V75-V21,MAX(Допущения!$B$42,CEILING(Допущения!$B$41*W21-(V75-V21),50)),0)</f>
        <v>15550</v>
      </c>
      <c r="W76" s="73" t="n">
        <f aca="false">IF(Допущения!$B$41*X21&gt;W75-W21,MAX(Допущения!$B$42,CEILING(Допущения!$B$41*X21-(W75-W21),50)),0)</f>
        <v>16400</v>
      </c>
      <c r="X76" s="73" t="n">
        <f aca="false">IF(Допущения!$B$41*Y21&gt;X75-X21,MAX(Допущения!$B$42,CEILING(Допущения!$B$41*Y21-(X75-X21),50)),0)</f>
        <v>17300</v>
      </c>
      <c r="Y76" s="73" t="n">
        <f aca="false">IF(Допущения!$B$41*Z21&gt;Y75-Y21,MAX(Допущения!$B$42,CEILING(Допущения!$B$41*Z21-(Y75-Y21),50)),0)</f>
        <v>18150</v>
      </c>
      <c r="Z76" s="73" t="n">
        <f aca="false">IF(Допущения!$B$41*AA21&gt;Z75-Z21,MAX(Допущения!$B$42,CEILING(Допущения!$B$41*AA21-(Z75-Z21),50)),0)</f>
        <v>19100</v>
      </c>
      <c r="AA76" s="73" t="n">
        <f aca="false">IF(Допущения!$B$41*AB21&gt;AA75-AA21,MAX(Допущения!$B$42,CEILING(Допущения!$B$41*AB21-(AA75-AA21),50)),0)</f>
        <v>21400</v>
      </c>
      <c r="AB76" s="73" t="n">
        <f aca="false">IF(Допущения!$B$41*AC21&gt;AB75-AB21,MAX(Допущения!$B$42,CEILING(Допущения!$B$41*AC21-(AB75-AB21),50)),0)</f>
        <v>22350</v>
      </c>
      <c r="AC76" s="73" t="n">
        <f aca="false">IF(Допущения!$B$41*AD21&gt;AC75-AC21,MAX(Допущения!$B$42,CEILING(Допущения!$B$41*AD21-(AC75-AC21),50)),0)</f>
        <v>23050</v>
      </c>
      <c r="AD76" s="73" t="n">
        <f aca="false">IF(Допущения!$B$41*AE21&gt;AD75-AD21,MAX(Допущения!$B$42,CEILING(Допущения!$B$41*AE21-(AD75-AD21),50)),0)</f>
        <v>23100</v>
      </c>
      <c r="AE76" s="73" t="n">
        <f aca="false">IF(Допущения!$B$41*AF21&gt;AE75-AE21,MAX(Допущения!$B$42,CEILING(Допущения!$B$41*AF21-(AE75-AE21),50)),0)</f>
        <v>24150</v>
      </c>
      <c r="AF76" s="73" t="n">
        <f aca="false">IF(Допущения!$B$41*AG21&gt;AF75-AF21,MAX(Допущения!$B$42,CEILING(Допущения!$B$41*AG21-(AF75-AF21),50)),0)</f>
        <v>25050</v>
      </c>
      <c r="AG76" s="73" t="n">
        <f aca="false">IF(Допущения!$B$41*AH21&gt;AG75-AG21,MAX(Допущения!$B$42,CEILING(Допущения!$B$41*AH21-(AG75-AG21),50)),0)</f>
        <v>25950</v>
      </c>
      <c r="AH76" s="73" t="n">
        <f aca="false">IF(Допущения!$B$41*AI21&gt;AH75-AH21,MAX(Допущения!$B$42,CEILING(Допущения!$B$41*AI21-(AH75-AH21),50)),0)</f>
        <v>26800</v>
      </c>
      <c r="AI76" s="73" t="n">
        <f aca="false">IF(Допущения!$B$41*AJ21&gt;AI75-AI21,MAX(Допущения!$B$42,CEILING(Допущения!$B$41*AJ21-(AI75-AI21),50)),0)</f>
        <v>27700</v>
      </c>
      <c r="AJ76" s="73" t="n">
        <f aca="false">IF(Допущения!$B$41*AK21&gt;AJ75-AJ21,MAX(Допущения!$B$42,CEILING(Допущения!$B$41*AK21-(AJ75-AJ21),50)),0)</f>
        <v>28200</v>
      </c>
      <c r="AK76" s="73" t="n">
        <f aca="false">IF(Допущения!$B$41*AL21&gt;AK75-AK21,MAX(Допущения!$B$42,CEILING(Допущения!$B$41*AL21-(AK75-AK21),50)),0)</f>
        <v>28750</v>
      </c>
      <c r="AL76" s="73" t="n">
        <f aca="false">IF(Допущения!$B$41*AM21&gt;AL75-AL21,MAX(Допущения!$B$42,CEILING(Допущения!$B$41*AM21-(AL75-AL21),50)),0)</f>
        <v>29250</v>
      </c>
      <c r="AM76" s="73" t="n">
        <f aca="false">IF(Допущения!$B$41*AM21&gt;AM75-AM21,MAX(Допущения!$B$42,CEILING(Допущения!$B$41*AM21-(AM75-AM21),50)),0)</f>
        <v>29100</v>
      </c>
    </row>
    <row r="77" customFormat="false" ht="15" hidden="false" customHeight="true" outlineLevel="0" collapsed="false">
      <c r="A77" s="16" t="s">
        <v>510</v>
      </c>
      <c r="C77" s="76" t="n">
        <f aca="false">IF(C76=0,0,C76*IFERROR(INDEX(Допущения!$H$59:$O$59,MATCH(C76,Допущения!$H$58:$O$58,1)),Допущения!$H$59)*IF(C2=0,1,Допущения!$E$19))</f>
        <v>7970</v>
      </c>
      <c r="D77" s="76" t="n">
        <f aca="false">IF(D76=0,0,D76*IFERROR(INDEX(Допущения!$H$59:$O$59,MATCH(D76,Допущения!$H$58:$O$58,1)),Допущения!$H$59)*IF(D2=0,1,Допущения!$E$19))</f>
        <v>7308</v>
      </c>
      <c r="E77" s="76" t="n">
        <f aca="false">IF(E76=0,0,E76*IFERROR(INDEX(Допущения!$H$59:$O$59,MATCH(E76,Допущения!$H$58:$O$58,1)),Допущения!$H$59)*IF(E2=0,1,Допущения!$E$19))</f>
        <v>13150.5</v>
      </c>
      <c r="F77" s="76" t="n">
        <f aca="false">IF(F76=0,0,F76*IFERROR(INDEX(Допущения!$H$59:$O$59,MATCH(F76,Допущения!$H$58:$O$58,1)),Допущения!$H$59)*IF(F2=0,1,Допущения!$E$19))</f>
        <v>19128</v>
      </c>
      <c r="G77" s="76" t="n">
        <f aca="false">IF(G76=0,0,G76*IFERROR(INDEX(Допущения!$H$59:$O$59,MATCH(G76,Допущения!$H$58:$O$58,1)),Допущения!$H$59)*IF(G2=0,1,Допущения!$E$19))</f>
        <v>25024</v>
      </c>
      <c r="H77" s="76" t="n">
        <f aca="false">IF(H76=0,0,H76*IFERROR(INDEX(Допущения!$H$59:$O$59,MATCH(H76,Допущения!$H$58:$O$58,1)),Допущения!$H$59)*IF(H2=0,1,Допущения!$E$19))</f>
        <v>30889</v>
      </c>
      <c r="I77" s="76" t="n">
        <f aca="false">IF(I76=0,0,I76*IFERROR(INDEX(Допущения!$H$59:$O$59,MATCH(I76,Допущения!$H$58:$O$58,1)),Допущения!$H$59)*IF(I2=0,1,Допущения!$E$19))</f>
        <v>37145</v>
      </c>
      <c r="J77" s="76" t="n">
        <f aca="false">IF(J76=0,0,J76*IFERROR(INDEX(Допущения!$H$59:$O$59,MATCH(J76,Допущения!$H$58:$O$58,1)),Допущения!$H$59)*IF(J2=0,1,Допущения!$E$19))</f>
        <v>42185</v>
      </c>
      <c r="K77" s="76" t="n">
        <f aca="false">IF(K76=0,0,K76*IFERROR(INDEX(Допущения!$H$59:$O$59,MATCH(K76,Допущения!$H$58:$O$58,1)),Допущения!$H$59)*IF(K2=0,1,Допущения!$E$19))</f>
        <v>48321</v>
      </c>
      <c r="L77" s="76" t="n">
        <f aca="false">IF(L76=0,0,L76*IFERROR(INDEX(Допущения!$H$59:$O$59,MATCH(L76,Допущения!$H$58:$O$58,1)),Допущения!$H$59)*IF(L2=0,1,Допущения!$E$19))</f>
        <v>54457</v>
      </c>
      <c r="M77" s="76" t="n">
        <f aca="false">IF(M76=0,0,M76*IFERROR(INDEX(Допущения!$H$59:$O$59,MATCH(M76,Допущения!$H$58:$O$58,1)),Допущения!$H$59)*IF(M2=0,1,Допущения!$E$19))</f>
        <v>58989</v>
      </c>
      <c r="N77" s="76" t="n">
        <f aca="false">IF(N76=0,0,N76*IFERROR(INDEX(Допущения!$H$59:$O$59,MATCH(N76,Допущения!$H$58:$O$58,1)),Допущения!$H$59)*IF(N2=0,1,Допущения!$E$19))</f>
        <v>63812</v>
      </c>
      <c r="O77" s="76" t="n">
        <f aca="false">IF(O76=0,0,O76*IFERROR(INDEX(Допущения!$H$59:$O$59,MATCH(O76,Допущения!$H$58:$O$58,1)),Допущения!$H$59)*IF(O2=0,1,Допущения!$E$19))</f>
        <v>72624</v>
      </c>
      <c r="P77" s="76" t="n">
        <f aca="false">IF(P76=0,0,P76*IFERROR(INDEX(Допущения!$H$59:$O$59,MATCH(P76,Допущения!$H$58:$O$58,1)),Допущения!$H$59)*IF(P2=0,1,Допущения!$E$19))</f>
        <v>78320</v>
      </c>
      <c r="Q77" s="76" t="n">
        <f aca="false">IF(Q76=0,0,Q76*IFERROR(INDEX(Допущения!$H$59:$O$59,MATCH(Q76,Допущения!$H$58:$O$58,1)),Допущения!$H$59)*IF(Q2=0,1,Допущения!$E$19))</f>
        <v>83660</v>
      </c>
      <c r="R77" s="76" t="n">
        <f aca="false">IF(R76=0,0,R76*IFERROR(INDEX(Допущения!$H$59:$O$59,MATCH(R76,Допущения!$H$58:$O$58,1)),Допущения!$H$59)*IF(R2=0,1,Допущения!$E$19))</f>
        <v>86152</v>
      </c>
      <c r="S77" s="76" t="n">
        <f aca="false">IF(S76=0,0,S76*IFERROR(INDEX(Допущения!$H$59:$O$59,MATCH(S76,Допущения!$H$58:$O$58,1)),Допущения!$H$59)*IF(S2=0,1,Допущения!$E$19))</f>
        <v>92560</v>
      </c>
      <c r="T77" s="76" t="n">
        <f aca="false">IF(T76=0,0,T76*IFERROR(INDEX(Допущения!$H$59:$O$59,MATCH(T76,Допущения!$H$58:$O$58,1)),Допущения!$H$59)*IF(T2=0,1,Допущения!$E$19))</f>
        <v>98256</v>
      </c>
      <c r="U77" s="76" t="n">
        <f aca="false">IF(U76=0,0,U76*IFERROR(INDEX(Допущения!$H$59:$O$59,MATCH(U76,Допущения!$H$58:$O$58,1)),Допущения!$H$59)*IF(U2=0,1,Допущения!$E$19))</f>
        <v>104664</v>
      </c>
      <c r="V77" s="76" t="n">
        <f aca="false">IF(V76=0,0,V76*IFERROR(INDEX(Допущения!$H$59:$O$59,MATCH(V76,Допущения!$H$58:$O$58,1)),Допущения!$H$59)*IF(V2=0,1,Допущения!$E$19))</f>
        <v>110716</v>
      </c>
      <c r="W77" s="76" t="n">
        <f aca="false">IF(W76=0,0,W76*IFERROR(INDEX(Допущения!$H$59:$O$59,MATCH(W76,Допущения!$H$58:$O$58,1)),Допущения!$H$59)*IF(W2=0,1,Допущения!$E$19))</f>
        <v>116768</v>
      </c>
      <c r="X77" s="76" t="n">
        <f aca="false">IF(X76=0,0,X76*IFERROR(INDEX(Допущения!$H$59:$O$59,MATCH(X76,Допущения!$H$58:$O$58,1)),Допущения!$H$59)*IF(X2=0,1,Допущения!$E$19))</f>
        <v>123176</v>
      </c>
      <c r="Y77" s="76" t="n">
        <f aca="false">IF(Y76=0,0,Y76*IFERROR(INDEX(Допущения!$H$59:$O$59,MATCH(Y76,Допущения!$H$58:$O$58,1)),Допущения!$H$59)*IF(Y2=0,1,Допущения!$E$19))</f>
        <v>129228</v>
      </c>
      <c r="Z77" s="76" t="n">
        <f aca="false">IF(Z76=0,0,Z76*IFERROR(INDEX(Допущения!$H$59:$O$59,MATCH(Z76,Допущения!$H$58:$O$58,1)),Допущения!$H$59)*IF(Z2=0,1,Допущения!$E$19))</f>
        <v>135992</v>
      </c>
      <c r="AA77" s="76" t="n">
        <f aca="false">IF(AA76=0,0,AA76*IFERROR(INDEX(Допущения!$H$59:$O$59,MATCH(AA76,Допущения!$H$58:$O$58,1)),Допущения!$H$59)*IF(AA2=0,1,Допущения!$E$19))</f>
        <v>152368</v>
      </c>
      <c r="AB77" s="76" t="n">
        <f aca="false">IF(AB76=0,0,AB76*IFERROR(INDEX(Допущения!$H$59:$O$59,MATCH(AB76,Допущения!$H$58:$O$58,1)),Допущения!$H$59)*IF(AB2=0,1,Допущения!$E$19))</f>
        <v>159132</v>
      </c>
      <c r="AC77" s="76" t="n">
        <f aca="false">IF(AC76=0,0,AC76*IFERROR(INDEX(Допущения!$H$59:$O$59,MATCH(AC76,Допущения!$H$58:$O$58,1)),Допущения!$H$59)*IF(AC2=0,1,Допущения!$E$19))</f>
        <v>164116</v>
      </c>
      <c r="AD77" s="76" t="n">
        <f aca="false">IF(AD76=0,0,AD76*IFERROR(INDEX(Допущения!$H$59:$O$59,MATCH(AD76,Допущения!$H$58:$O$58,1)),Допущения!$H$59)*IF(AD2=0,1,Допущения!$E$19))</f>
        <v>164472</v>
      </c>
      <c r="AE77" s="76" t="n">
        <f aca="false">IF(AE76=0,0,AE76*IFERROR(INDEX(Допущения!$H$59:$O$59,MATCH(AE76,Допущения!$H$58:$O$58,1)),Допущения!$H$59)*IF(AE2=0,1,Допущения!$E$19))</f>
        <v>171948</v>
      </c>
      <c r="AF77" s="76" t="n">
        <f aca="false">IF(AF76=0,0,AF76*IFERROR(INDEX(Допущения!$H$59:$O$59,MATCH(AF76,Допущения!$H$58:$O$58,1)),Допущения!$H$59)*IF(AF2=0,1,Допущения!$E$19))</f>
        <v>178356</v>
      </c>
      <c r="AG77" s="76" t="n">
        <f aca="false">IF(AG76=0,0,AG76*IFERROR(INDEX(Допущения!$H$59:$O$59,MATCH(AG76,Допущения!$H$58:$O$58,1)),Допущения!$H$59)*IF(AG2=0,1,Допущения!$E$19))</f>
        <v>184764</v>
      </c>
      <c r="AH77" s="76" t="n">
        <f aca="false">IF(AH76=0,0,AH76*IFERROR(INDEX(Допущения!$H$59:$O$59,MATCH(AH76,Допущения!$H$58:$O$58,1)),Допущения!$H$59)*IF(AH2=0,1,Допущения!$E$19))</f>
        <v>190816</v>
      </c>
      <c r="AI77" s="76" t="n">
        <f aca="false">IF(AI76=0,0,AI76*IFERROR(INDEX(Допущения!$H$59:$O$59,MATCH(AI76,Допущения!$H$58:$O$58,1)),Допущения!$H$59)*IF(AI2=0,1,Допущения!$E$19))</f>
        <v>197224</v>
      </c>
      <c r="AJ77" s="76" t="n">
        <f aca="false">IF(AJ76=0,0,AJ76*IFERROR(INDEX(Допущения!$H$59:$O$59,MATCH(AJ76,Допущения!$H$58:$O$58,1)),Допущения!$H$59)*IF(AJ2=0,1,Допущения!$E$19))</f>
        <v>200784</v>
      </c>
      <c r="AK77" s="76" t="n">
        <f aca="false">IF(AK76=0,0,AK76*IFERROR(INDEX(Допущения!$H$59:$O$59,MATCH(AK76,Допущения!$H$58:$O$58,1)),Допущения!$H$59)*IF(AK2=0,1,Допущения!$E$19))</f>
        <v>204700</v>
      </c>
      <c r="AL77" s="76" t="n">
        <f aca="false">IF(AL76=0,0,AL76*IFERROR(INDEX(Допущения!$H$59:$O$59,MATCH(AL76,Допущения!$H$58:$O$58,1)),Допущения!$H$59)*IF(AL2=0,1,Допущения!$E$19))</f>
        <v>208260</v>
      </c>
      <c r="AM77" s="76" t="n">
        <f aca="false">IF(AM76=0,0,AM76*IFERROR(INDEX(Допущения!$H$59:$O$59,MATCH(AM76,Допущения!$H$58:$O$58,1)),Допущения!$H$59)*IF(AM2=0,1,Допущения!$E$19))</f>
        <v>207192</v>
      </c>
    </row>
    <row r="78" customFormat="false" ht="15" hidden="false" customHeight="true" outlineLevel="0" collapsed="false">
      <c r="A78" s="16" t="s">
        <v>511</v>
      </c>
      <c r="C78" s="73" t="n">
        <f aca="false">C75-C21+C76</f>
        <v>1000</v>
      </c>
      <c r="D78" s="73" t="n">
        <f aca="false">D75-D21+D76</f>
        <v>1510.38</v>
      </c>
      <c r="E78" s="73" t="n">
        <f aca="false">E75-E21+E76</f>
        <v>2014.29</v>
      </c>
      <c r="F78" s="73" t="n">
        <f aca="false">F75-F21+F76</f>
        <v>2891.769</v>
      </c>
      <c r="G78" s="73" t="n">
        <f aca="false">G75-G21+G76</f>
        <v>3876.1721</v>
      </c>
      <c r="H78" s="73" t="n">
        <f aca="false">H75-H21+H76</f>
        <v>4850.56689</v>
      </c>
      <c r="I78" s="73" t="n">
        <f aca="false">I75-I21+I76</f>
        <v>5879.63686766667</v>
      </c>
      <c r="J78" s="73" t="n">
        <f aca="false">J75-J21+J76</f>
        <v>6894.6771809</v>
      </c>
      <c r="K78" s="73" t="n">
        <f aca="false">K75-K21+K76</f>
        <v>7928.85346281</v>
      </c>
      <c r="L78" s="73" t="n">
        <f aca="false">L75-L21+L76</f>
        <v>8967.01478319567</v>
      </c>
      <c r="M78" s="73" t="n">
        <f aca="false">M75-M21+M76</f>
        <v>10045.5253048761</v>
      </c>
      <c r="N78" s="73" t="n">
        <f aca="false">N75-N21+N76</f>
        <v>10952.1127743885</v>
      </c>
      <c r="O78" s="73" t="n">
        <f aca="false">O75-O21+O76</f>
        <v>12739.2254969496</v>
      </c>
      <c r="P78" s="73" t="n">
        <f aca="false">P75-P21+P76</f>
        <v>13965.0917472547</v>
      </c>
      <c r="Q78" s="73" t="n">
        <f aca="false">Q75-Q21+Q76</f>
        <v>14975.9126525292</v>
      </c>
      <c r="R78" s="73" t="n">
        <f aca="false">R75-R21+R76</f>
        <v>15581.0364272763</v>
      </c>
      <c r="S78" s="73" t="n">
        <f aca="false">S75-S21+S76</f>
        <v>16632.3383845487</v>
      </c>
      <c r="T78" s="73" t="n">
        <f aca="false">T75-T21+T76</f>
        <v>17671.8029460938</v>
      </c>
      <c r="U78" s="73" t="n">
        <f aca="false">U75-U21+U76</f>
        <v>18783.6250514844</v>
      </c>
      <c r="V78" s="73" t="n">
        <f aca="false">V75-V21+V76</f>
        <v>19903.580146336</v>
      </c>
      <c r="W78" s="73" t="n">
        <f aca="false">W75-W21+W76</f>
        <v>21018.8661317024</v>
      </c>
      <c r="X78" s="73" t="n">
        <f aca="false">X75-X21+X76</f>
        <v>22167.9611185321</v>
      </c>
      <c r="Y78" s="73" t="n">
        <f aca="false">Y75-Y21+Y76</f>
        <v>23290.4954066789</v>
      </c>
      <c r="Z78" s="73" t="n">
        <f aca="false">Z75-Z21+Z76</f>
        <v>24477.136266011</v>
      </c>
      <c r="AA78" s="73" t="n">
        <f aca="false">AA75-AA21+AA76</f>
        <v>27069.4842394099</v>
      </c>
      <c r="AB78" s="73" t="n">
        <f aca="false">AB75-AB21+AB76</f>
        <v>28607.2782154689</v>
      </c>
      <c r="AC78" s="73" t="n">
        <f aca="false">AC75-AC21+AC76</f>
        <v>29656.879833922</v>
      </c>
      <c r="AD78" s="73" t="n">
        <f aca="false">AD75-AD21+AD76</f>
        <v>29972.9248105298</v>
      </c>
      <c r="AE78" s="73" t="n">
        <f aca="false">AE75-AE21+AE76</f>
        <v>31087.4100894768</v>
      </c>
      <c r="AF78" s="73" t="n">
        <f aca="false">AF75-AF21+AF76</f>
        <v>32234.8740405292</v>
      </c>
      <c r="AG78" s="73" t="n">
        <f aca="false">AG75-AG21+AG76</f>
        <v>33405.0299964762</v>
      </c>
      <c r="AH78" s="73" t="n">
        <f aca="false">AH75-AH21+AH76</f>
        <v>34538.6199568286</v>
      </c>
      <c r="AI78" s="73" t="n">
        <f aca="false">AI75-AI21+AI76</f>
        <v>35677.3117211457</v>
      </c>
      <c r="AJ78" s="73" t="n">
        <f aca="false">AJ75-AJ21+AJ76</f>
        <v>36461.6543090312</v>
      </c>
      <c r="AK78" s="73" t="n">
        <f aca="false">AK75-AK21+AK76</f>
        <v>37185.4346381281</v>
      </c>
      <c r="AL78" s="73" t="n">
        <f aca="false">AL75-AL21+AL76</f>
        <v>37853.3249343152</v>
      </c>
      <c r="AM78" s="73" t="n">
        <f aca="false">AM75-AM21+AM76</f>
        <v>37864.5302008837</v>
      </c>
    </row>
    <row r="79" customFormat="false" ht="15" hidden="false" customHeight="true" outlineLevel="0" collapsed="false">
      <c r="A79" s="16" t="s">
        <v>512</v>
      </c>
      <c r="C79" s="73" t="n">
        <v>0</v>
      </c>
      <c r="D79" s="73" t="n">
        <f aca="false">C82</f>
        <v>400</v>
      </c>
      <c r="E79" s="73" t="n">
        <f aca="false">D82</f>
        <v>599.718</v>
      </c>
      <c r="F79" s="73" t="n">
        <f aca="false">E82</f>
        <v>806.462</v>
      </c>
      <c r="G79" s="73" t="n">
        <f aca="false">F82</f>
        <v>1164.8776</v>
      </c>
      <c r="H79" s="73" t="n">
        <f aca="false">G82</f>
        <v>1552.66284</v>
      </c>
      <c r="I79" s="73" t="n">
        <f aca="false">H82</f>
        <v>1933.796756</v>
      </c>
      <c r="J79" s="73" t="n">
        <f aca="false">I82</f>
        <v>2315.1660804</v>
      </c>
      <c r="K79" s="73" t="n">
        <f aca="false">J82</f>
        <v>2739.28887236</v>
      </c>
      <c r="L79" s="73" t="n">
        <f aca="false">K82</f>
        <v>3149.431385124</v>
      </c>
      <c r="M79" s="73" t="n">
        <f aca="false">L82</f>
        <v>3589.5332466116</v>
      </c>
      <c r="N79" s="73" t="n">
        <f aca="false">M82</f>
        <v>4004.14012195044</v>
      </c>
      <c r="O79" s="73" t="n">
        <f aca="false">N82</f>
        <v>4388.3431097554</v>
      </c>
      <c r="P79" s="73" t="n">
        <f aca="false">O82</f>
        <v>5086.36419877986</v>
      </c>
      <c r="Q79" s="73" t="n">
        <f aca="false">P82</f>
        <v>5550.52085890187</v>
      </c>
      <c r="R79" s="73" t="n">
        <f aca="false">Q82</f>
        <v>5981.57154101168</v>
      </c>
      <c r="S79" s="73" t="n">
        <f aca="false">R82</f>
        <v>6210.06377091051</v>
      </c>
      <c r="T79" s="73" t="n">
        <f aca="false">S82</f>
        <v>6652.93815381946</v>
      </c>
      <c r="U79" s="73" t="n">
        <f aca="false">T82</f>
        <v>7073.37197843751</v>
      </c>
      <c r="V79" s="73" t="n">
        <f aca="false">U82</f>
        <v>7515.04322059376</v>
      </c>
      <c r="W79" s="73" t="n">
        <f aca="false">V82</f>
        <v>7922.26205853438</v>
      </c>
      <c r="X79" s="73" t="n">
        <f aca="false">W82</f>
        <v>8389.90765268094</v>
      </c>
      <c r="Y79" s="73" t="n">
        <f aca="false">X82</f>
        <v>8813.37124741285</v>
      </c>
      <c r="Z79" s="73" t="n">
        <f aca="false">Y82</f>
        <v>9288.50496267156</v>
      </c>
      <c r="AA79" s="73" t="n">
        <f aca="false">Z82</f>
        <v>9761.57570640441</v>
      </c>
      <c r="AB79" s="73" t="n">
        <f aca="false">AA82</f>
        <v>10779.223695764</v>
      </c>
      <c r="AC79" s="73" t="n">
        <f aca="false">AB82</f>
        <v>11363.0973661876</v>
      </c>
      <c r="AD79" s="73" t="n">
        <f aca="false">AC82</f>
        <v>11774.6062535688</v>
      </c>
      <c r="AE79" s="73" t="n">
        <f aca="false">AD82</f>
        <v>11919.9418442119</v>
      </c>
      <c r="AF79" s="73" t="n">
        <f aca="false">AE82</f>
        <v>12405.6223557907</v>
      </c>
      <c r="AG79" s="73" t="n">
        <f aca="false">AF82</f>
        <v>12846.7887362117</v>
      </c>
      <c r="AH79" s="73" t="n">
        <f aca="false">AG82</f>
        <v>13289.3263185905</v>
      </c>
      <c r="AI79" s="73" t="n">
        <f aca="false">AH82</f>
        <v>13779.5319027314</v>
      </c>
      <c r="AJ79" s="73" t="n">
        <f aca="false">AI82</f>
        <v>14214.0726084583</v>
      </c>
      <c r="AK79" s="73" t="n">
        <f aca="false">AJ82</f>
        <v>14508.4816436125</v>
      </c>
      <c r="AL79" s="73" t="n">
        <f aca="false">AK82</f>
        <v>14806.8417752512</v>
      </c>
      <c r="AM79" s="73" t="n">
        <f aca="false">AL82</f>
        <v>15081.0218937261</v>
      </c>
    </row>
    <row r="80" customFormat="false" ht="15" hidden="false" customHeight="true" outlineLevel="0" collapsed="false">
      <c r="A80" s="16" t="s">
        <v>513</v>
      </c>
      <c r="C80" s="73" t="n">
        <f aca="false">Допущения!$G$60</f>
        <v>400</v>
      </c>
      <c r="D80" s="73" t="n">
        <f aca="false">IF(Допущения!$B$41*E22&gt;D79-D22,MAX(Допущения!$B$42,CEILING(Допущения!$B$41*E22-(D79-D22),50)),0)</f>
        <v>350</v>
      </c>
      <c r="E80" s="73" t="n">
        <f aca="false">IF(Допущения!$B$41*F22&gt;E79-E22,MAX(Допущения!$B$42,CEILING(Допущения!$B$41*F22-(E79-E22),50)),0)</f>
        <v>650</v>
      </c>
      <c r="F80" s="73" t="n">
        <f aca="false">IF(Допущения!$B$41*G22&gt;F79-F22,MAX(Допущения!$B$42,CEILING(Допущения!$B$41*G22-(F79-F22),50)),0)</f>
        <v>950</v>
      </c>
      <c r="G80" s="73" t="n">
        <f aca="false">IF(Допущения!$B$41*H22&gt;G79-G22,MAX(Допущения!$B$42,CEILING(Допущения!$B$41*H22-(G79-G22),50)),0)</f>
        <v>1250</v>
      </c>
      <c r="H80" s="73" t="n">
        <f aca="false">IF(Допущения!$B$41*I22&gt;H79-H22,MAX(Допущения!$B$42,CEILING(Допущения!$B$41*I22-(H79-H22),50)),0)</f>
        <v>1550</v>
      </c>
      <c r="I80" s="73" t="n">
        <f aca="false">IF(Допущения!$B$41*J22&gt;I79-I22,MAX(Допущения!$B$42,CEILING(Допущения!$B$41*J22-(I79-I22),50)),0)</f>
        <v>1850</v>
      </c>
      <c r="J80" s="73" t="n">
        <f aca="false">IF(Допущения!$B$41*K22&gt;J79-J22,MAX(Допущения!$B$42,CEILING(Допущения!$B$41*K22-(J79-J22),50)),0)</f>
        <v>2200</v>
      </c>
      <c r="K80" s="73" t="n">
        <f aca="false">IF(Допущения!$B$41*L22&gt;K79-K22,MAX(Допущения!$B$42,CEILING(Допущения!$B$41*L22-(K79-K22),50)),0)</f>
        <v>2500</v>
      </c>
      <c r="L80" s="73" t="n">
        <f aca="false">IF(Допущения!$B$41*M22&gt;L79-L22,MAX(Допущения!$B$42,CEILING(Допущения!$B$41*M22-(L79-L22),50)),0)</f>
        <v>2850</v>
      </c>
      <c r="M80" s="73" t="n">
        <f aca="false">IF(Допущения!$B$41*N22&gt;M79-M22,MAX(Допущения!$B$42,CEILING(Допущения!$B$41*N22-(M79-M22),50)),0)</f>
        <v>3150</v>
      </c>
      <c r="N80" s="73" t="n">
        <f aca="false">IF(Допущения!$B$41*O22&gt;N79-N22,MAX(Допущения!$B$42,CEILING(Допущения!$B$41*O22-(N79-N22),50)),0)</f>
        <v>3450</v>
      </c>
      <c r="O80" s="73" t="n">
        <f aca="false">IF(Допущения!$B$41*P22&gt;O79-O22,MAX(Допущения!$B$42,CEILING(Допущения!$B$41*P22-(O79-O22),50)),0)</f>
        <v>4050</v>
      </c>
      <c r="P80" s="73" t="n">
        <f aca="false">IF(Допущения!$B$41*Q22&gt;P79-P22,MAX(Допущения!$B$42,CEILING(Допущения!$B$41*Q22-(P79-P22),50)),0)</f>
        <v>4350</v>
      </c>
      <c r="Q80" s="73" t="n">
        <f aca="false">IF(Допущения!$B$41*R22&gt;Q79-Q22,MAX(Допущения!$B$42,CEILING(Допущения!$B$41*R22-(Q79-Q22),50)),0)</f>
        <v>4700</v>
      </c>
      <c r="R80" s="73" t="n">
        <f aca="false">IF(Допущения!$B$41*S22&gt;R79-R22,MAX(Допущения!$B$42,CEILING(Допущения!$B$41*S22-(R79-R22),50)),0)</f>
        <v>4800</v>
      </c>
      <c r="S80" s="73" t="n">
        <f aca="false">IF(Допущения!$B$41*T22&gt;S79-S22,MAX(Допущения!$B$42,CEILING(Допущения!$B$41*T22-(S79-S22),50)),0)</f>
        <v>5200</v>
      </c>
      <c r="T80" s="73" t="n">
        <f aca="false">IF(Допущения!$B$41*U22&gt;T79-T22,MAX(Допущения!$B$42,CEILING(Допущения!$B$41*U22-(T79-T22),50)),0)</f>
        <v>5500</v>
      </c>
      <c r="U80" s="73" t="n">
        <f aca="false">IF(Допущения!$B$41*V22&gt;U79-U22,MAX(Допущения!$B$42,CEILING(Допущения!$B$41*V22-(U79-U22),50)),0)</f>
        <v>5850</v>
      </c>
      <c r="V80" s="73" t="n">
        <f aca="false">IF(Допущения!$B$41*W22&gt;V79-V22,MAX(Допущения!$B$42,CEILING(Допущения!$B$41*W22-(V79-V22),50)),0)</f>
        <v>6150</v>
      </c>
      <c r="W80" s="73" t="n">
        <f aca="false">IF(Допущения!$B$41*X22&gt;W79-W22,MAX(Допущения!$B$42,CEILING(Допущения!$B$41*X22-(W79-W22),50)),0)</f>
        <v>6550</v>
      </c>
      <c r="X80" s="73" t="n">
        <f aca="false">IF(Допущения!$B$41*Y22&gt;X79-X22,MAX(Допущения!$B$42,CEILING(Допущения!$B$41*Y22-(X79-X22),50)),0)</f>
        <v>6850</v>
      </c>
      <c r="Y80" s="73" t="n">
        <f aca="false">IF(Допущения!$B$41*Z22&gt;Y79-Y22,MAX(Допущения!$B$42,CEILING(Допущения!$B$41*Z22-(Y79-Y22),50)),0)</f>
        <v>7250</v>
      </c>
      <c r="Z80" s="73" t="n">
        <f aca="false">IF(Допущения!$B$41*AA22&gt;Z79-Z22,MAX(Допущения!$B$42,CEILING(Допущения!$B$41*AA22-(Z79-Z22),50)),0)</f>
        <v>7600</v>
      </c>
      <c r="AA80" s="73" t="n">
        <f aca="false">IF(Допущения!$B$41*AB22&gt;AA79-AA22,MAX(Допущения!$B$42,CEILING(Допущения!$B$41*AB22-(AA79-AA22),50)),0)</f>
        <v>8500</v>
      </c>
      <c r="AB80" s="73" t="n">
        <f aca="false">IF(Допущения!$B$41*AC22&gt;AB79-AB22,MAX(Допущения!$B$42,CEILING(Допущения!$B$41*AC22-(AB79-AB22),50)),0)</f>
        <v>8850</v>
      </c>
      <c r="AC80" s="73" t="n">
        <f aca="false">IF(Допущения!$B$41*AD22&gt;AC79-AC22,MAX(Допущения!$B$42,CEILING(Допущения!$B$41*AD22-(AC79-AC22),50)),0)</f>
        <v>9150</v>
      </c>
      <c r="AD80" s="73" t="n">
        <f aca="false">IF(Допущения!$B$41*AE22&gt;AD79-AD22,MAX(Допущения!$B$42,CEILING(Допущения!$B$41*AE22-(AD79-AD22),50)),0)</f>
        <v>9200</v>
      </c>
      <c r="AE80" s="73" t="n">
        <f aca="false">IF(Допущения!$B$41*AF22&gt;AE79-AE22,MAX(Допущения!$B$42,CEILING(Допущения!$B$41*AF22-(AE79-AE22),50)),0)</f>
        <v>9650</v>
      </c>
      <c r="AF80" s="73" t="n">
        <f aca="false">IF(Допущения!$B$41*AG22&gt;AF79-AF22,MAX(Допущения!$B$42,CEILING(Допущения!$B$41*AG22-(AF79-AF22),50)),0)</f>
        <v>9950</v>
      </c>
      <c r="AG80" s="73" t="n">
        <f aca="false">IF(Допущения!$B$41*AH22&gt;AG79-AG22,MAX(Допущения!$B$42,CEILING(Допущения!$B$41*AH22-(AG79-AG22),50)),0)</f>
        <v>10300</v>
      </c>
      <c r="AH80" s="73" t="n">
        <f aca="false">IF(Допущения!$B$41*AI22&gt;AH79-AH22,MAX(Допущения!$B$42,CEILING(Допущения!$B$41*AI22-(AH79-AH22),50)),0)</f>
        <v>10700</v>
      </c>
      <c r="AI80" s="73" t="n">
        <f aca="false">IF(Допущения!$B$41*AJ22&gt;AI79-AI22,MAX(Допущения!$B$42,CEILING(Допущения!$B$41*AJ22-(AI79-AI22),50)),0)</f>
        <v>11000</v>
      </c>
      <c r="AJ80" s="73" t="n">
        <f aca="false">IF(Допущения!$B$41*AK22&gt;AJ79-AJ22,MAX(Допущения!$B$42,CEILING(Допущения!$B$41*AK22-(AJ79-AJ22),50)),0)</f>
        <v>11200</v>
      </c>
      <c r="AK80" s="73" t="n">
        <f aca="false">IF(Допущения!$B$41*AL22&gt;AK79-AK22,MAX(Допущения!$B$42,CEILING(Допущения!$B$41*AL22-(AK79-AK22),50)),0)</f>
        <v>11450</v>
      </c>
      <c r="AL80" s="73" t="n">
        <f aca="false">IF(Допущения!$B$41*AM22&gt;AL79-AL22,MAX(Допущения!$B$42,CEILING(Допущения!$B$41*AM22-(AL79-AL22),50)),0)</f>
        <v>11650</v>
      </c>
      <c r="AM80" s="73" t="n">
        <f aca="false">IF(Допущения!$B$41*AM22&gt;AM79-AM22,MAX(Допущения!$B$42,CEILING(Допущения!$B$41*AM22-(AM79-AM22),50)),0)</f>
        <v>11600</v>
      </c>
    </row>
    <row r="81" customFormat="false" ht="15" hidden="false" customHeight="true" outlineLevel="0" collapsed="false">
      <c r="A81" s="16" t="s">
        <v>514</v>
      </c>
      <c r="C81" s="76" t="n">
        <f aca="false">IF(C80=0,0,C80*IFERROR(INDEX(Допущения!$H$60:$O$60,MATCH(C80,Допущения!$H$58:$O$58,1)),Допущения!$H$60)*IF(C2=0,1,Допущения!$E$19))</f>
        <v>3196</v>
      </c>
      <c r="D81" s="76" t="n">
        <f aca="false">IF(D80=0,0,D80*IFERROR(INDEX(Допущения!$H$60:$O$60,MATCH(D80,Допущения!$H$58:$O$58,1)),Допущения!$H$60)*IF(D2=0,1,Допущения!$E$19))</f>
        <v>2796.5</v>
      </c>
      <c r="E81" s="76" t="n">
        <f aca="false">IF(E80=0,0,E80*IFERROR(INDEX(Допущения!$H$60:$O$60,MATCH(E80,Допущения!$H$58:$O$58,1)),Допущения!$H$60)*IF(E2=0,1,Допущения!$E$19))</f>
        <v>4966</v>
      </c>
      <c r="F81" s="76" t="n">
        <f aca="false">IF(F80=0,0,F80*IFERROR(INDEX(Допущения!$H$60:$O$60,MATCH(F80,Допущения!$H$58:$O$58,1)),Допущения!$H$60)*IF(F2=0,1,Допущения!$E$19))</f>
        <v>7258</v>
      </c>
      <c r="G81" s="76" t="n">
        <f aca="false">IF(G80=0,0,G80*IFERROR(INDEX(Допущения!$H$60:$O$60,MATCH(G80,Допущения!$H$58:$O$58,1)),Допущения!$H$60)*IF(G2=0,1,Допущения!$E$19))</f>
        <v>9300</v>
      </c>
      <c r="H81" s="76" t="n">
        <f aca="false">IF(H80=0,0,H80*IFERROR(INDEX(Допущения!$H$60:$O$60,MATCH(H80,Допущения!$H$58:$O$58,1)),Допущения!$H$60)*IF(H2=0,1,Допущения!$E$19))</f>
        <v>11532</v>
      </c>
      <c r="I81" s="76" t="n">
        <f aca="false">IF(I80=0,0,I80*IFERROR(INDEX(Допущения!$H$60:$O$60,MATCH(I80,Допущения!$H$58:$O$58,1)),Допущения!$H$60)*IF(I2=0,1,Допущения!$E$19))</f>
        <v>13764</v>
      </c>
      <c r="J81" s="76" t="n">
        <f aca="false">IF(J80=0,0,J80*IFERROR(INDEX(Допущения!$H$60:$O$60,MATCH(J80,Допущения!$H$58:$O$58,1)),Допущения!$H$60)*IF(J2=0,1,Допущения!$E$19))</f>
        <v>16368</v>
      </c>
      <c r="K81" s="76" t="n">
        <f aca="false">IF(K80=0,0,K80*IFERROR(INDEX(Допущения!$H$60:$O$60,MATCH(K80,Допущения!$H$58:$O$58,1)),Допущения!$H$60)*IF(K2=0,1,Допущения!$E$19))</f>
        <v>18100</v>
      </c>
      <c r="L81" s="76" t="n">
        <f aca="false">IF(L80=0,0,L80*IFERROR(INDEX(Допущения!$H$60:$O$60,MATCH(L80,Допущения!$H$58:$O$58,1)),Допущения!$H$60)*IF(L2=0,1,Допущения!$E$19))</f>
        <v>20634</v>
      </c>
      <c r="M81" s="76" t="n">
        <f aca="false">IF(M80=0,0,M80*IFERROR(INDEX(Допущения!$H$60:$O$60,MATCH(M80,Допущения!$H$58:$O$58,1)),Допущения!$H$60)*IF(M2=0,1,Допущения!$E$19))</f>
        <v>22806</v>
      </c>
      <c r="N81" s="76" t="n">
        <f aca="false">IF(N80=0,0,N80*IFERROR(INDEX(Допущения!$H$60:$O$60,MATCH(N80,Допущения!$H$58:$O$58,1)),Допущения!$H$60)*IF(N2=0,1,Допущения!$E$19))</f>
        <v>24978</v>
      </c>
      <c r="O81" s="76" t="n">
        <f aca="false">IF(O80=0,0,O80*IFERROR(INDEX(Допущения!$H$60:$O$60,MATCH(O80,Допущения!$H$58:$O$58,1)),Допущения!$H$60)*IF(O2=0,1,Допущения!$E$19))</f>
        <v>29322</v>
      </c>
      <c r="P81" s="76" t="n">
        <f aca="false">IF(P80=0,0,P80*IFERROR(INDEX(Допущения!$H$60:$O$60,MATCH(P80,Допущения!$H$58:$O$58,1)),Допущения!$H$60)*IF(P2=0,1,Допущения!$E$19))</f>
        <v>31494</v>
      </c>
      <c r="Q81" s="76" t="n">
        <f aca="false">IF(Q80=0,0,Q80*IFERROR(INDEX(Допущения!$H$60:$O$60,MATCH(Q80,Допущения!$H$58:$O$58,1)),Допущения!$H$60)*IF(Q2=0,1,Допущения!$E$19))</f>
        <v>34028</v>
      </c>
      <c r="R81" s="76" t="n">
        <f aca="false">IF(R80=0,0,R80*IFERROR(INDEX(Допущения!$H$60:$O$60,MATCH(R80,Допущения!$H$58:$O$58,1)),Допущения!$H$60)*IF(R2=0,1,Допущения!$E$19))</f>
        <v>34752</v>
      </c>
      <c r="S81" s="76" t="n">
        <f aca="false">IF(S80=0,0,S80*IFERROR(INDEX(Допущения!$H$60:$O$60,MATCH(S80,Допущения!$H$58:$O$58,1)),Допущения!$H$60)*IF(S2=0,1,Допущения!$E$19))</f>
        <v>36088</v>
      </c>
      <c r="T81" s="76" t="n">
        <f aca="false">IF(T80=0,0,T80*IFERROR(INDEX(Допущения!$H$60:$O$60,MATCH(T80,Допущения!$H$58:$O$58,1)),Допущения!$H$60)*IF(T2=0,1,Допущения!$E$19))</f>
        <v>38170</v>
      </c>
      <c r="U81" s="76" t="n">
        <f aca="false">IF(U80=0,0,U80*IFERROR(INDEX(Допущения!$H$60:$O$60,MATCH(U80,Допущения!$H$58:$O$58,1)),Допущения!$H$60)*IF(U2=0,1,Допущения!$E$19))</f>
        <v>40599</v>
      </c>
      <c r="V81" s="76" t="n">
        <f aca="false">IF(V80=0,0,V80*IFERROR(INDEX(Допущения!$H$60:$O$60,MATCH(V80,Допущения!$H$58:$O$58,1)),Допущения!$H$60)*IF(V2=0,1,Допущения!$E$19))</f>
        <v>42681</v>
      </c>
      <c r="W81" s="76" t="n">
        <f aca="false">IF(W80=0,0,W80*IFERROR(INDEX(Допущения!$H$60:$O$60,MATCH(W80,Допущения!$H$58:$O$58,1)),Допущения!$H$60)*IF(W2=0,1,Допущения!$E$19))</f>
        <v>45457</v>
      </c>
      <c r="X81" s="76" t="n">
        <f aca="false">IF(X80=0,0,X80*IFERROR(INDEX(Допущения!$H$60:$O$60,MATCH(X80,Допущения!$H$58:$O$58,1)),Допущения!$H$60)*IF(X2=0,1,Допущения!$E$19))</f>
        <v>47539</v>
      </c>
      <c r="Y81" s="76" t="n">
        <f aca="false">IF(Y80=0,0,Y80*IFERROR(INDEX(Допущения!$H$60:$O$60,MATCH(Y80,Допущения!$H$58:$O$58,1)),Допущения!$H$60)*IF(Y2=0,1,Допущения!$E$19))</f>
        <v>50315</v>
      </c>
      <c r="Z81" s="76" t="n">
        <f aca="false">IF(Z80=0,0,Z80*IFERROR(INDEX(Допущения!$H$60:$O$60,MATCH(Z80,Допущения!$H$58:$O$58,1)),Допущения!$H$60)*IF(Z2=0,1,Допущения!$E$19))</f>
        <v>51224</v>
      </c>
      <c r="AA81" s="76" t="n">
        <f aca="false">IF(AA80=0,0,AA80*IFERROR(INDEX(Допущения!$H$60:$O$60,MATCH(AA80,Допущения!$H$58:$O$58,1)),Допущения!$H$60)*IF(AA2=0,1,Допущения!$E$19))</f>
        <v>57290</v>
      </c>
      <c r="AB81" s="76" t="n">
        <f aca="false">IF(AB80=0,0,AB80*IFERROR(INDEX(Допущения!$H$60:$O$60,MATCH(AB80,Допущения!$H$58:$O$58,1)),Допущения!$H$60)*IF(AB2=0,1,Допущения!$E$19))</f>
        <v>59649</v>
      </c>
      <c r="AC81" s="76" t="n">
        <f aca="false">IF(AC80=0,0,AC80*IFERROR(INDEX(Допущения!$H$60:$O$60,MATCH(AC80,Допущения!$H$58:$O$58,1)),Допущения!$H$60)*IF(AC2=0,1,Допущения!$E$19))</f>
        <v>61671</v>
      </c>
      <c r="AD81" s="76" t="n">
        <f aca="false">IF(AD80=0,0,AD80*IFERROR(INDEX(Допущения!$H$60:$O$60,MATCH(AD80,Допущения!$H$58:$O$58,1)),Допущения!$H$60)*IF(AD2=0,1,Допущения!$E$19))</f>
        <v>62008</v>
      </c>
      <c r="AE81" s="76" t="n">
        <f aca="false">IF(AE80=0,0,AE80*IFERROR(INDEX(Допущения!$H$60:$O$60,MATCH(AE80,Допущения!$H$58:$O$58,1)),Допущения!$H$60)*IF(AE2=0,1,Допущения!$E$19))</f>
        <v>65041</v>
      </c>
      <c r="AF81" s="76" t="n">
        <f aca="false">IF(AF80=0,0,AF80*IFERROR(INDEX(Допущения!$H$60:$O$60,MATCH(AF80,Допущения!$H$58:$O$58,1)),Допущения!$H$60)*IF(AF2=0,1,Допущения!$E$19))</f>
        <v>67063</v>
      </c>
      <c r="AG81" s="76" t="n">
        <f aca="false">IF(AG80=0,0,AG80*IFERROR(INDEX(Допущения!$H$60:$O$60,MATCH(AG80,Допущения!$H$58:$O$58,1)),Допущения!$H$60)*IF(AG2=0,1,Допущения!$E$19))</f>
        <v>67877</v>
      </c>
      <c r="AH81" s="76" t="n">
        <f aca="false">IF(AH80=0,0,AH80*IFERROR(INDEX(Допущения!$H$60:$O$60,MATCH(AH80,Допущения!$H$58:$O$58,1)),Допущения!$H$60)*IF(AH2=0,1,Допущения!$E$19))</f>
        <v>70513</v>
      </c>
      <c r="AI81" s="76" t="n">
        <f aca="false">IF(AI80=0,0,AI80*IFERROR(INDEX(Допущения!$H$60:$O$60,MATCH(AI80,Допущения!$H$58:$O$58,1)),Допущения!$H$60)*IF(AI2=0,1,Допущения!$E$19))</f>
        <v>72490</v>
      </c>
      <c r="AJ81" s="76" t="n">
        <f aca="false">IF(AJ80=0,0,AJ80*IFERROR(INDEX(Допущения!$H$60:$O$60,MATCH(AJ80,Допущения!$H$58:$O$58,1)),Допущения!$H$60)*IF(AJ2=0,1,Допущения!$E$19))</f>
        <v>73808</v>
      </c>
      <c r="AK81" s="76" t="n">
        <f aca="false">IF(AK80=0,0,AK80*IFERROR(INDEX(Допущения!$H$60:$O$60,MATCH(AK80,Допущения!$H$58:$O$58,1)),Допущения!$H$60)*IF(AK2=0,1,Допущения!$E$19))</f>
        <v>75455.5</v>
      </c>
      <c r="AL81" s="76" t="n">
        <f aca="false">IF(AL80=0,0,AL80*IFERROR(INDEX(Допущения!$H$60:$O$60,MATCH(AL80,Допущения!$H$58:$O$58,1)),Допущения!$H$60)*IF(AL2=0,1,Допущения!$E$19))</f>
        <v>76773.5</v>
      </c>
      <c r="AM81" s="76" t="n">
        <f aca="false">IF(AM80=0,0,AM80*IFERROR(INDEX(Допущения!$H$60:$O$60,MATCH(AM80,Допущения!$H$58:$O$58,1)),Допущения!$H$60)*IF(AM2=0,1,Допущения!$E$19))</f>
        <v>76444</v>
      </c>
    </row>
    <row r="82" customFormat="false" ht="15" hidden="false" customHeight="true" outlineLevel="0" collapsed="false">
      <c r="A82" s="16" t="s">
        <v>515</v>
      </c>
      <c r="C82" s="73" t="n">
        <f aca="false">C79-C22+C80</f>
        <v>400</v>
      </c>
      <c r="D82" s="73" t="n">
        <f aca="false">D79-D22+D80</f>
        <v>599.718</v>
      </c>
      <c r="E82" s="73" t="n">
        <f aca="false">E79-E22+E80</f>
        <v>806.462</v>
      </c>
      <c r="F82" s="73" t="n">
        <f aca="false">F79-F22+F80</f>
        <v>1164.8776</v>
      </c>
      <c r="G82" s="73" t="n">
        <f aca="false">G79-G22+G80</f>
        <v>1552.66284</v>
      </c>
      <c r="H82" s="73" t="n">
        <f aca="false">H79-H22+H80</f>
        <v>1933.796756</v>
      </c>
      <c r="I82" s="73" t="n">
        <f aca="false">I79-I22+I80</f>
        <v>2315.1660804</v>
      </c>
      <c r="J82" s="73" t="n">
        <f aca="false">J79-J22+J80</f>
        <v>2739.28887236</v>
      </c>
      <c r="K82" s="73" t="n">
        <f aca="false">K79-K22+K80</f>
        <v>3149.431385124</v>
      </c>
      <c r="L82" s="73" t="n">
        <f aca="false">L79-L22+L80</f>
        <v>3589.5332466116</v>
      </c>
      <c r="M82" s="73" t="n">
        <f aca="false">M79-M22+M80</f>
        <v>4004.14012195044</v>
      </c>
      <c r="N82" s="73" t="n">
        <f aca="false">N79-N22+N80</f>
        <v>4388.3431097554</v>
      </c>
      <c r="O82" s="73" t="n">
        <f aca="false">O79-O22+O80</f>
        <v>5086.36419877986</v>
      </c>
      <c r="P82" s="73" t="n">
        <f aca="false">P79-P22+P80</f>
        <v>5550.52085890187</v>
      </c>
      <c r="Q82" s="73" t="n">
        <f aca="false">Q79-Q22+Q80</f>
        <v>5981.57154101168</v>
      </c>
      <c r="R82" s="73" t="n">
        <f aca="false">R79-R22+R80</f>
        <v>6210.06377091051</v>
      </c>
      <c r="S82" s="73" t="n">
        <f aca="false">S79-S22+S80</f>
        <v>6652.93815381946</v>
      </c>
      <c r="T82" s="73" t="n">
        <f aca="false">T79-T22+T80</f>
        <v>7073.37197843751</v>
      </c>
      <c r="U82" s="73" t="n">
        <f aca="false">U79-U22+U80</f>
        <v>7515.04322059376</v>
      </c>
      <c r="V82" s="73" t="n">
        <f aca="false">V79-V22+V80</f>
        <v>7922.26205853438</v>
      </c>
      <c r="W82" s="73" t="n">
        <f aca="false">W79-W22+W80</f>
        <v>8389.90765268094</v>
      </c>
      <c r="X82" s="73" t="n">
        <f aca="false">X79-X22+X80</f>
        <v>8813.37124741285</v>
      </c>
      <c r="Y82" s="73" t="n">
        <f aca="false">Y79-Y22+Y80</f>
        <v>9288.50496267156</v>
      </c>
      <c r="Z82" s="73" t="n">
        <f aca="false">Z79-Z22+Z80</f>
        <v>9761.57570640441</v>
      </c>
      <c r="AA82" s="73" t="n">
        <f aca="false">AA79-AA22+AA80</f>
        <v>10779.223695764</v>
      </c>
      <c r="AB82" s="73" t="n">
        <f aca="false">AB79-AB22+AB80</f>
        <v>11363.0973661876</v>
      </c>
      <c r="AC82" s="73" t="n">
        <f aca="false">AC79-AC22+AC80</f>
        <v>11774.6062535688</v>
      </c>
      <c r="AD82" s="73" t="n">
        <f aca="false">AD79-AD22+AD80</f>
        <v>11919.9418442119</v>
      </c>
      <c r="AE82" s="73" t="n">
        <f aca="false">AE79-AE22+AE80</f>
        <v>12405.6223557907</v>
      </c>
      <c r="AF82" s="73" t="n">
        <f aca="false">AF79-AF22+AF80</f>
        <v>12846.7887362117</v>
      </c>
      <c r="AG82" s="73" t="n">
        <f aca="false">AG79-AG22+AG80</f>
        <v>13289.3263185905</v>
      </c>
      <c r="AH82" s="73" t="n">
        <f aca="false">AH79-AH22+AH80</f>
        <v>13779.5319027314</v>
      </c>
      <c r="AI82" s="73" t="n">
        <f aca="false">AI79-AI22+AI80</f>
        <v>14214.0726084583</v>
      </c>
      <c r="AJ82" s="73" t="n">
        <f aca="false">AJ79-AJ22+AJ80</f>
        <v>14508.4816436125</v>
      </c>
      <c r="AK82" s="73" t="n">
        <f aca="false">AK79-AK22+AK80</f>
        <v>14806.8417752512</v>
      </c>
      <c r="AL82" s="73" t="n">
        <f aca="false">AL79-AL22+AL80</f>
        <v>15081.0218937261</v>
      </c>
      <c r="AM82" s="73" t="n">
        <f aca="false">AM79-AM22+AM80</f>
        <v>15100.7040003535</v>
      </c>
    </row>
    <row r="83" customFormat="false" ht="15" hidden="false" customHeight="true" outlineLevel="0" collapsed="false">
      <c r="A83" s="16" t="s">
        <v>516</v>
      </c>
      <c r="C83" s="73" t="n">
        <v>0</v>
      </c>
      <c r="D83" s="73" t="n">
        <f aca="false">C86</f>
        <v>1000</v>
      </c>
      <c r="E83" s="73" t="n">
        <f aca="false">D86</f>
        <v>1071.7</v>
      </c>
      <c r="F83" s="73" t="n">
        <f aca="false">E86</f>
        <v>1450.0825</v>
      </c>
      <c r="G83" s="73" t="n">
        <f aca="false">F86</f>
        <v>2101.75175</v>
      </c>
      <c r="H83" s="73" t="n">
        <f aca="false">G86</f>
        <v>2850.114075</v>
      </c>
      <c r="I83" s="73" t="n">
        <f aca="false">H86</f>
        <v>3544.6501675</v>
      </c>
      <c r="J83" s="73" t="n">
        <f aca="false">I86</f>
        <v>4245.10598408333</v>
      </c>
      <c r="K83" s="73" t="n">
        <f aca="false">J86</f>
        <v>4987.452885675</v>
      </c>
      <c r="L83" s="73" t="n">
        <f aca="false">K86</f>
        <v>5759.0650971075</v>
      </c>
      <c r="M83" s="73" t="n">
        <f aca="false">L86</f>
        <v>6548.57942073008</v>
      </c>
      <c r="N83" s="73" t="n">
        <f aca="false">M86</f>
        <v>7295.76897865708</v>
      </c>
      <c r="O83" s="73" t="n">
        <f aca="false">N86</f>
        <v>7991.42958079137</v>
      </c>
      <c r="P83" s="73" t="n">
        <f aca="false">O86</f>
        <v>9258.34412271223</v>
      </c>
      <c r="Q83" s="73" t="n">
        <f aca="false">P86</f>
        <v>10187.749210441</v>
      </c>
      <c r="R83" s="73" t="n">
        <f aca="false">Q86</f>
        <v>10957.4906893969</v>
      </c>
      <c r="S83" s="73" t="n">
        <f aca="false">R86</f>
        <v>11366.6003204572</v>
      </c>
      <c r="T83" s="73" t="n">
        <f aca="false">S86</f>
        <v>12131.9607884115</v>
      </c>
      <c r="U83" s="73" t="n">
        <f aca="false">T86</f>
        <v>12951.0192095703</v>
      </c>
      <c r="V83" s="73" t="n">
        <f aca="false">U86</f>
        <v>13761.9217886133</v>
      </c>
      <c r="W83" s="73" t="n">
        <f aca="false">V86</f>
        <v>14554.000109752</v>
      </c>
      <c r="X83" s="73" t="n">
        <f aca="false">W86</f>
        <v>15417.6525987768</v>
      </c>
      <c r="Y83" s="73" t="n">
        <f aca="false">X86</f>
        <v>16244.2378388991</v>
      </c>
      <c r="Z83" s="73" t="n">
        <f aca="false">Y86</f>
        <v>17075.9785550092</v>
      </c>
      <c r="AA83" s="73" t="n">
        <f aca="false">Z86</f>
        <v>17955.8751995083</v>
      </c>
      <c r="AB83" s="73" t="n">
        <f aca="false">AA86</f>
        <v>19827.6281795574</v>
      </c>
      <c r="AC83" s="73" t="n">
        <f aca="false">AB86</f>
        <v>20947.9238616017</v>
      </c>
      <c r="AD83" s="73" t="n">
        <f aca="false">AC86</f>
        <v>21741.1956754415</v>
      </c>
      <c r="AE83" s="73" t="n">
        <f aca="false">AD86</f>
        <v>21996.7634078974</v>
      </c>
      <c r="AF83" s="73" t="n">
        <f aca="false">AE86</f>
        <v>22797.9233671076</v>
      </c>
      <c r="AG83" s="73" t="n">
        <f aca="false">AF86</f>
        <v>23661.3933303969</v>
      </c>
      <c r="AH83" s="73" t="n">
        <f aca="false">AG86</f>
        <v>24529.4582973572</v>
      </c>
      <c r="AI83" s="73" t="n">
        <f aca="false">AH86</f>
        <v>25345.1747676215</v>
      </c>
      <c r="AJ83" s="73" t="n">
        <f aca="false">AI86</f>
        <v>26202.2935908593</v>
      </c>
      <c r="AK83" s="73" t="n">
        <f aca="false">AJ86</f>
        <v>26779.5105317734</v>
      </c>
      <c r="AL83" s="73" t="n">
        <f aca="false">AK86</f>
        <v>27301.085778596</v>
      </c>
      <c r="AM83" s="73" t="n">
        <f aca="false">AL86</f>
        <v>27808.0235007364</v>
      </c>
    </row>
    <row r="84" customFormat="false" ht="15" hidden="false" customHeight="true" outlineLevel="0" collapsed="false">
      <c r="A84" s="16" t="s">
        <v>517</v>
      </c>
      <c r="C84" s="73" t="n">
        <f aca="false">Допущения!$G$61</f>
        <v>1000</v>
      </c>
      <c r="D84" s="73" t="n">
        <f aca="false">IF(Допущения!$B$41*E23&gt;D83-D23,MAX(Допущения!$B$42,CEILING(Допущения!$B$41*E23-(D83-D23),50)),0)</f>
        <v>350</v>
      </c>
      <c r="E84" s="73" t="n">
        <f aca="false">IF(Допущения!$B$41*F23&gt;E83-E23,MAX(Допущения!$B$42,CEILING(Допущения!$B$41*F23-(E83-E23),50)),0)</f>
        <v>1200</v>
      </c>
      <c r="F84" s="73" t="n">
        <f aca="false">IF(Допущения!$B$41*G23&gt;F83-F23,MAX(Допущения!$B$42,CEILING(Допущения!$B$41*G23-(F83-F23),50)),0)</f>
        <v>1750</v>
      </c>
      <c r="G84" s="73" t="n">
        <f aca="false">IF(Допущения!$B$41*H23&gt;G83-G23,MAX(Допущения!$B$42,CEILING(Допущения!$B$41*H23-(G83-G23),50)),0)</f>
        <v>2350</v>
      </c>
      <c r="H84" s="73" t="n">
        <f aca="false">IF(Допущения!$B$41*I23&gt;H83-H23,MAX(Допущения!$B$42,CEILING(Допущения!$B$41*I23-(H83-H23),50)),0)</f>
        <v>2850</v>
      </c>
      <c r="I84" s="73" t="n">
        <f aca="false">IF(Допущения!$B$41*J23&gt;I83-I23,MAX(Допущения!$B$42,CEILING(Допущения!$B$41*J23-(I83-I23),50)),0)</f>
        <v>3400</v>
      </c>
      <c r="J84" s="73" t="n">
        <f aca="false">IF(Допущения!$B$41*K23&gt;J83-J23,MAX(Допущения!$B$42,CEILING(Допущения!$B$41*K23-(J83-J23),50)),0)</f>
        <v>4000</v>
      </c>
      <c r="K84" s="73" t="n">
        <f aca="false">IF(Допущения!$B$41*L23&gt;K83-K23,MAX(Допущения!$B$42,CEILING(Допущения!$B$41*L23-(K83-K23),50)),0)</f>
        <v>4600</v>
      </c>
      <c r="L84" s="73" t="n">
        <f aca="false">IF(Допущения!$B$41*M23&gt;L83-L23,MAX(Допущения!$B$42,CEILING(Допущения!$B$41*M23-(L83-L23),50)),0)</f>
        <v>5200</v>
      </c>
      <c r="M84" s="73" t="n">
        <f aca="false">IF(Допущения!$B$41*N23&gt;M83-M23,MAX(Допущения!$B$42,CEILING(Допущения!$B$41*N23-(M83-M23),50)),0)</f>
        <v>5750</v>
      </c>
      <c r="N84" s="73" t="n">
        <f aca="false">IF(Допущения!$B$41*O23&gt;N83-N23,MAX(Допущения!$B$42,CEILING(Допущения!$B$41*O23-(N83-N23),50)),0)</f>
        <v>6300</v>
      </c>
      <c r="O84" s="73" t="n">
        <f aca="false">IF(Допущения!$B$41*P23&gt;O83-O23,MAX(Допущения!$B$42,CEILING(Допущения!$B$41*P23-(O83-O23),50)),0)</f>
        <v>7400</v>
      </c>
      <c r="P84" s="73" t="n">
        <f aca="false">IF(Допущения!$B$41*Q23&gt;P83-P23,MAX(Допущения!$B$42,CEILING(Допущения!$B$41*Q23-(P83-P23),50)),0)</f>
        <v>8050</v>
      </c>
      <c r="Q84" s="73" t="n">
        <f aca="false">IF(Допущения!$B$41*R23&gt;Q83-Q23,MAX(Допущения!$B$42,CEILING(Допущения!$B$41*R23-(Q83-Q23),50)),0)</f>
        <v>8600</v>
      </c>
      <c r="R84" s="73" t="n">
        <f aca="false">IF(Допущения!$B$41*S23&gt;R83-R23,MAX(Допущения!$B$42,CEILING(Допущения!$B$41*S23-(R83-R23),50)),0)</f>
        <v>8800</v>
      </c>
      <c r="S84" s="73" t="n">
        <f aca="false">IF(Допущения!$B$41*T23&gt;S83-S23,MAX(Допущения!$B$42,CEILING(Допущения!$B$41*T23-(S83-S23),50)),0)</f>
        <v>9500</v>
      </c>
      <c r="T84" s="73" t="n">
        <f aca="false">IF(Допущения!$B$41*U23&gt;T83-T23,MAX(Допущения!$B$42,CEILING(Допущения!$B$41*U23-(T83-T23),50)),0)</f>
        <v>10150</v>
      </c>
      <c r="U84" s="73" t="n">
        <f aca="false">IF(Допущения!$B$41*V23&gt;U83-U23,MAX(Допущения!$B$42,CEILING(Допущения!$B$41*V23-(U83-U23),50)),0)</f>
        <v>10750</v>
      </c>
      <c r="V84" s="73" t="n">
        <f aca="false">IF(Допущения!$B$41*W23&gt;V83-V23,MAX(Допущения!$B$42,CEILING(Допущения!$B$41*W23-(V83-V23),50)),0)</f>
        <v>11350</v>
      </c>
      <c r="W84" s="73" t="n">
        <f aca="false">IF(Допущения!$B$41*X23&gt;W83-W23,MAX(Допущения!$B$42,CEILING(Допущения!$B$41*X23-(W83-W23),50)),0)</f>
        <v>12050</v>
      </c>
      <c r="X84" s="73" t="n">
        <f aca="false">IF(Допущения!$B$41*Y23&gt;X83-X23,MAX(Допущения!$B$42,CEILING(Допущения!$B$41*Y23-(X83-X23),50)),0)</f>
        <v>12650</v>
      </c>
      <c r="Y84" s="73" t="n">
        <f aca="false">IF(Допущения!$B$41*Z23&gt;Y83-Y23,MAX(Допущения!$B$42,CEILING(Допущения!$B$41*Z23-(Y83-Y23),50)),0)</f>
        <v>13300</v>
      </c>
      <c r="Z84" s="73" t="n">
        <f aca="false">IF(Допущения!$B$41*AA23&gt;Z83-Z23,MAX(Допущения!$B$42,CEILING(Допущения!$B$41*AA23-(Z83-Z23),50)),0)</f>
        <v>14000</v>
      </c>
      <c r="AA84" s="73" t="n">
        <f aca="false">IF(Допущения!$B$41*AB23&gt;AA83-AA23,MAX(Допущения!$B$42,CEILING(Допущения!$B$41*AB23-(AA83-AA23),50)),0)</f>
        <v>15650</v>
      </c>
      <c r="AB84" s="73" t="n">
        <f aca="false">IF(Допущения!$B$41*AC23&gt;AB83-AB23,MAX(Допущения!$B$42,CEILING(Допущения!$B$41*AC23-(AB83-AB23),50)),0)</f>
        <v>16350</v>
      </c>
      <c r="AC84" s="73" t="n">
        <f aca="false">IF(Допущения!$B$41*AD23&gt;AC83-AC23,MAX(Допущения!$B$42,CEILING(Допущения!$B$41*AD23-(AC83-AC23),50)),0)</f>
        <v>16900</v>
      </c>
      <c r="AD84" s="73" t="n">
        <f aca="false">IF(Допущения!$B$41*AE23&gt;AD83-AD23,MAX(Допущения!$B$42,CEILING(Допущения!$B$41*AE23-(AD83-AD23),50)),0)</f>
        <v>16950</v>
      </c>
      <c r="AE84" s="73" t="n">
        <f aca="false">IF(Допущения!$B$41*AF23&gt;AE83-AE23,MAX(Допущения!$B$42,CEILING(Допущения!$B$41*AF23-(AE83-AE23),50)),0)</f>
        <v>17700</v>
      </c>
      <c r="AF84" s="73" t="n">
        <f aca="false">IF(Допущения!$B$41*AG23&gt;AF83-AF23,MAX(Допущения!$B$42,CEILING(Допущения!$B$41*AG23-(AF83-AF23),50)),0)</f>
        <v>18400</v>
      </c>
      <c r="AG84" s="73" t="n">
        <f aca="false">IF(Допущения!$B$41*AH23&gt;AG83-AG23,MAX(Допущения!$B$42,CEILING(Допущения!$B$41*AH23-(AG83-AG23),50)),0)</f>
        <v>19050</v>
      </c>
      <c r="AH84" s="73" t="n">
        <f aca="false">IF(Допущения!$B$41*AI23&gt;AH83-AH23,MAX(Допущения!$B$42,CEILING(Допущения!$B$41*AI23-(AH83-AH23),50)),0)</f>
        <v>19650</v>
      </c>
      <c r="AI84" s="73" t="n">
        <f aca="false">IF(Допущения!$B$41*AJ23&gt;AI83-AI23,MAX(Допущения!$B$42,CEILING(Допущения!$B$41*AJ23-(AI83-AI23),50)),0)</f>
        <v>20350</v>
      </c>
      <c r="AJ84" s="73" t="n">
        <f aca="false">IF(Допущения!$B$41*AK23&gt;AJ83-AJ23,MAX(Допущения!$B$42,CEILING(Допущения!$B$41*AK23-(AJ83-AJ23),50)),0)</f>
        <v>20700</v>
      </c>
      <c r="AK84" s="73" t="n">
        <f aca="false">IF(Допущения!$B$41*AL23&gt;AK83-AK23,MAX(Допущения!$B$42,CEILING(Допущения!$B$41*AL23-(AK83-AK23),50)),0)</f>
        <v>21100</v>
      </c>
      <c r="AL84" s="73" t="n">
        <f aca="false">IF(Допущения!$B$41*AM23&gt;AL83-AL23,MAX(Допущения!$B$42,CEILING(Допущения!$B$41*AM23-(AL83-AL23),50)),0)</f>
        <v>21500</v>
      </c>
      <c r="AM84" s="73" t="n">
        <f aca="false">IF(Допущения!$B$41*AM23&gt;AM83-AM23,MAX(Допущения!$B$42,CEILING(Допущения!$B$41*AM23-(AM83-AM23),50)),0)</f>
        <v>21350</v>
      </c>
    </row>
    <row r="85" customFormat="false" ht="15" hidden="false" customHeight="true" outlineLevel="0" collapsed="false">
      <c r="A85" s="16" t="s">
        <v>518</v>
      </c>
      <c r="C85" s="76" t="n">
        <f aca="false">IF(C84=0,0,C84*IFERROR(INDEX(Допущения!$H$61:$O$61,MATCH(C84,Допущения!$H$58:$O$58,1)),Допущения!$H$61)*IF(C2=0,1,Допущения!$E$19))</f>
        <v>4610</v>
      </c>
      <c r="D85" s="76" t="n">
        <f aca="false">IF(D84=0,0,D84*IFERROR(INDEX(Допущения!$H$61:$O$61,MATCH(D84,Допущения!$H$58:$O$58,1)),Допущения!$H$61)*IF(D2=0,1,Допущения!$E$19))</f>
        <v>1806</v>
      </c>
      <c r="E85" s="76" t="n">
        <f aca="false">IF(E84=0,0,E84*IFERROR(INDEX(Допущения!$H$61:$O$61,MATCH(E84,Допущения!$H$58:$O$58,1)),Допущения!$H$61)*IF(E2=0,1,Допущения!$E$19))</f>
        <v>5532</v>
      </c>
      <c r="F85" s="76" t="n">
        <f aca="false">IF(F84=0,0,F84*IFERROR(INDEX(Допущения!$H$61:$O$61,MATCH(F84,Допущения!$H$58:$O$58,1)),Допущения!$H$61)*IF(F2=0,1,Допущения!$E$19))</f>
        <v>8067.5</v>
      </c>
      <c r="G85" s="76" t="n">
        <f aca="false">IF(G84=0,0,G84*IFERROR(INDEX(Допущения!$H$61:$O$61,MATCH(G84,Допущения!$H$58:$O$58,1)),Допущения!$H$61)*IF(G2=0,1,Допущения!$E$19))</f>
        <v>10833.5</v>
      </c>
      <c r="H85" s="76" t="n">
        <f aca="false">IF(H84=0,0,H84*IFERROR(INDEX(Допущения!$H$61:$O$61,MATCH(H84,Допущения!$H$58:$O$58,1)),Допущения!$H$61)*IF(H2=0,1,Допущения!$E$19))</f>
        <v>12568.5</v>
      </c>
      <c r="I85" s="76" t="n">
        <f aca="false">IF(I84=0,0,I84*IFERROR(INDEX(Допущения!$H$61:$O$61,MATCH(I84,Допущения!$H$58:$O$58,1)),Допущения!$H$61)*IF(I2=0,1,Допущения!$E$19))</f>
        <v>14994</v>
      </c>
      <c r="J85" s="76" t="n">
        <f aca="false">IF(J84=0,0,J84*IFERROR(INDEX(Допущения!$H$61:$O$61,MATCH(J84,Допущения!$H$58:$O$58,1)),Допущения!$H$61)*IF(J2=0,1,Допущения!$E$19))</f>
        <v>17640</v>
      </c>
      <c r="K85" s="76" t="n">
        <f aca="false">IF(K84=0,0,K84*IFERROR(INDEX(Допущения!$H$61:$O$61,MATCH(K84,Допущения!$H$58:$O$58,1)),Допущения!$H$61)*IF(K2=0,1,Допущения!$E$19))</f>
        <v>20286</v>
      </c>
      <c r="L85" s="76" t="n">
        <f aca="false">IF(L84=0,0,L84*IFERROR(INDEX(Допущения!$H$61:$O$61,MATCH(L84,Допущения!$H$58:$O$58,1)),Допущения!$H$61)*IF(L2=0,1,Допущения!$E$19))</f>
        <v>21372</v>
      </c>
      <c r="M85" s="76" t="n">
        <f aca="false">IF(M84=0,0,M84*IFERROR(INDEX(Допущения!$H$61:$O$61,MATCH(M84,Допущения!$H$58:$O$58,1)),Допущения!$H$61)*IF(M2=0,1,Допущения!$E$19))</f>
        <v>23632.5</v>
      </c>
      <c r="N85" s="76" t="n">
        <f aca="false">IF(N84=0,0,N84*IFERROR(INDEX(Допущения!$H$61:$O$61,MATCH(N84,Допущения!$H$58:$O$58,1)),Допущения!$H$61)*IF(N2=0,1,Допущения!$E$19))</f>
        <v>25893</v>
      </c>
      <c r="O85" s="76" t="n">
        <f aca="false">IF(O84=0,0,O84*IFERROR(INDEX(Допущения!$H$61:$O$61,MATCH(O84,Допущения!$H$58:$O$58,1)),Допущения!$H$61)*IF(O2=0,1,Допущения!$E$19))</f>
        <v>30414</v>
      </c>
      <c r="P85" s="76" t="n">
        <f aca="false">IF(P84=0,0,P84*IFERROR(INDEX(Допущения!$H$61:$O$61,MATCH(P84,Допущения!$H$58:$O$58,1)),Допущения!$H$61)*IF(P2=0,1,Допущения!$E$19))</f>
        <v>31475.5</v>
      </c>
      <c r="Q85" s="76" t="n">
        <f aca="false">IF(Q84=0,0,Q84*IFERROR(INDEX(Допущения!$H$61:$O$61,MATCH(Q84,Допущения!$H$58:$O$58,1)),Допущения!$H$61)*IF(Q2=0,1,Допущения!$E$19))</f>
        <v>33626</v>
      </c>
      <c r="R85" s="76" t="n">
        <f aca="false">IF(R84=0,0,R84*IFERROR(INDEX(Допущения!$H$61:$O$61,MATCH(R84,Допущения!$H$58:$O$58,1)),Допущения!$H$61)*IF(R2=0,1,Допущения!$E$19))</f>
        <v>34408</v>
      </c>
      <c r="S85" s="76" t="n">
        <f aca="false">IF(S84=0,0,S84*IFERROR(INDEX(Допущения!$H$61:$O$61,MATCH(S84,Допущения!$H$58:$O$58,1)),Допущения!$H$61)*IF(S2=0,1,Допущения!$E$19))</f>
        <v>37145</v>
      </c>
      <c r="T85" s="76" t="n">
        <f aca="false">IF(T84=0,0,T84*IFERROR(INDEX(Допущения!$H$61:$O$61,MATCH(T84,Допущения!$H$58:$O$58,1)),Допущения!$H$61)*IF(T2=0,1,Допущения!$E$19))</f>
        <v>38164</v>
      </c>
      <c r="U85" s="76" t="n">
        <f aca="false">IF(U84=0,0,U84*IFERROR(INDEX(Допущения!$H$61:$O$61,MATCH(U84,Допущения!$H$58:$O$58,1)),Допущения!$H$61)*IF(U2=0,1,Допущения!$E$19))</f>
        <v>40420</v>
      </c>
      <c r="V85" s="76" t="n">
        <f aca="false">IF(V84=0,0,V84*IFERROR(INDEX(Допущения!$H$61:$O$61,MATCH(V84,Допущения!$H$58:$O$58,1)),Допущения!$H$61)*IF(V2=0,1,Допущения!$E$19))</f>
        <v>42676</v>
      </c>
      <c r="W85" s="76" t="n">
        <f aca="false">IF(W84=0,0,W84*IFERROR(INDEX(Допущения!$H$61:$O$61,MATCH(W84,Допущения!$H$58:$O$58,1)),Допущения!$H$61)*IF(W2=0,1,Допущения!$E$19))</f>
        <v>45308</v>
      </c>
      <c r="X85" s="76" t="n">
        <f aca="false">IF(X84=0,0,X84*IFERROR(INDEX(Допущения!$H$61:$O$61,MATCH(X84,Допущения!$H$58:$O$58,1)),Допущения!$H$61)*IF(X2=0,1,Допущения!$E$19))</f>
        <v>47564</v>
      </c>
      <c r="Y85" s="76" t="n">
        <f aca="false">IF(Y84=0,0,Y84*IFERROR(INDEX(Допущения!$H$61:$O$61,MATCH(Y84,Допущения!$H$58:$O$58,1)),Допущения!$H$61)*IF(Y2=0,1,Допущения!$E$19))</f>
        <v>50008</v>
      </c>
      <c r="Z85" s="76" t="n">
        <f aca="false">IF(Z84=0,0,Z84*IFERROR(INDEX(Допущения!$H$61:$O$61,MATCH(Z84,Допущения!$H$58:$O$58,1)),Допущения!$H$61)*IF(Z2=0,1,Допущения!$E$19))</f>
        <v>52640</v>
      </c>
      <c r="AA85" s="76" t="n">
        <f aca="false">IF(AA84=0,0,AA84*IFERROR(INDEX(Допущения!$H$61:$O$61,MATCH(AA84,Допущения!$H$58:$O$58,1)),Допущения!$H$61)*IF(AA2=0,1,Допущения!$E$19))</f>
        <v>58844</v>
      </c>
      <c r="AB85" s="76" t="n">
        <f aca="false">IF(AB84=0,0,AB84*IFERROR(INDEX(Допущения!$H$61:$O$61,MATCH(AB84,Допущения!$H$58:$O$58,1)),Допущения!$H$61)*IF(AB2=0,1,Допущения!$E$19))</f>
        <v>61476</v>
      </c>
      <c r="AC85" s="76" t="n">
        <f aca="false">IF(AC84=0,0,AC84*IFERROR(INDEX(Допущения!$H$61:$O$61,MATCH(AC84,Допущения!$H$58:$O$58,1)),Допущения!$H$61)*IF(AC2=0,1,Допущения!$E$19))</f>
        <v>63544</v>
      </c>
      <c r="AD85" s="76" t="n">
        <f aca="false">IF(AD84=0,0,AD84*IFERROR(INDEX(Допущения!$H$61:$O$61,MATCH(AD84,Допущения!$H$58:$O$58,1)),Допущения!$H$61)*IF(AD2=0,1,Допущения!$E$19))</f>
        <v>63732</v>
      </c>
      <c r="AE85" s="76" t="n">
        <f aca="false">IF(AE84=0,0,AE84*IFERROR(INDEX(Допущения!$H$61:$O$61,MATCH(AE84,Допущения!$H$58:$O$58,1)),Допущения!$H$61)*IF(AE2=0,1,Допущения!$E$19))</f>
        <v>66552</v>
      </c>
      <c r="AF85" s="76" t="n">
        <f aca="false">IF(AF84=0,0,AF84*IFERROR(INDEX(Допущения!$H$61:$O$61,MATCH(AF84,Допущения!$H$58:$O$58,1)),Допущения!$H$61)*IF(AF2=0,1,Допущения!$E$19))</f>
        <v>69184</v>
      </c>
      <c r="AG85" s="76" t="n">
        <f aca="false">IF(AG84=0,0,AG84*IFERROR(INDEX(Допущения!$H$61:$O$61,MATCH(AG84,Допущения!$H$58:$O$58,1)),Допущения!$H$61)*IF(AG2=0,1,Допущения!$E$19))</f>
        <v>71628</v>
      </c>
      <c r="AH85" s="76" t="n">
        <f aca="false">IF(AH84=0,0,AH84*IFERROR(INDEX(Допущения!$H$61:$O$61,MATCH(AH84,Допущения!$H$58:$O$58,1)),Допущения!$H$61)*IF(AH2=0,1,Допущения!$E$19))</f>
        <v>73884</v>
      </c>
      <c r="AI85" s="76" t="n">
        <f aca="false">IF(AI84=0,0,AI84*IFERROR(INDEX(Допущения!$H$61:$O$61,MATCH(AI84,Допущения!$H$58:$O$58,1)),Допущения!$H$61)*IF(AI2=0,1,Допущения!$E$19))</f>
        <v>76516</v>
      </c>
      <c r="AJ85" s="76" t="n">
        <f aca="false">IF(AJ84=0,0,AJ84*IFERROR(INDEX(Допущения!$H$61:$O$61,MATCH(AJ84,Допущения!$H$58:$O$58,1)),Допущения!$H$61)*IF(AJ2=0,1,Допущения!$E$19))</f>
        <v>77832</v>
      </c>
      <c r="AK85" s="76" t="n">
        <f aca="false">IF(AK84=0,0,AK84*IFERROR(INDEX(Допущения!$H$61:$O$61,MATCH(AK84,Допущения!$H$58:$O$58,1)),Допущения!$H$61)*IF(AK2=0,1,Допущения!$E$19))</f>
        <v>79336</v>
      </c>
      <c r="AL85" s="76" t="n">
        <f aca="false">IF(AL84=0,0,AL84*IFERROR(INDEX(Допущения!$H$61:$O$61,MATCH(AL84,Допущения!$H$58:$O$58,1)),Допущения!$H$61)*IF(AL2=0,1,Допущения!$E$19))</f>
        <v>80840</v>
      </c>
      <c r="AM85" s="76" t="n">
        <f aca="false">IF(AM84=0,0,AM84*IFERROR(INDEX(Допущения!$H$61:$O$61,MATCH(AM84,Допущения!$H$58:$O$58,1)),Допущения!$H$61)*IF(AM2=0,1,Допущения!$E$19))</f>
        <v>80276</v>
      </c>
    </row>
    <row r="86" customFormat="false" ht="15" hidden="false" customHeight="true" outlineLevel="0" collapsed="false">
      <c r="A86" s="16" t="s">
        <v>519</v>
      </c>
      <c r="C86" s="73" t="n">
        <f aca="false">C83-C23+C84</f>
        <v>1000</v>
      </c>
      <c r="D86" s="73" t="n">
        <f aca="false">D83-D23+D84</f>
        <v>1071.7</v>
      </c>
      <c r="E86" s="73" t="n">
        <f aca="false">E83-E23+E84</f>
        <v>1450.0825</v>
      </c>
      <c r="F86" s="73" t="n">
        <f aca="false">F83-F23+F84</f>
        <v>2101.75175</v>
      </c>
      <c r="G86" s="73" t="n">
        <f aca="false">G83-G23+G84</f>
        <v>2850.114075</v>
      </c>
      <c r="H86" s="73" t="n">
        <f aca="false">H83-H23+H84</f>
        <v>3544.6501675</v>
      </c>
      <c r="I86" s="73" t="n">
        <f aca="false">I83-I23+I84</f>
        <v>4245.10598408333</v>
      </c>
      <c r="J86" s="73" t="n">
        <f aca="false">J83-J23+J84</f>
        <v>4987.452885675</v>
      </c>
      <c r="K86" s="73" t="n">
        <f aca="false">K83-K23+K84</f>
        <v>5759.0650971075</v>
      </c>
      <c r="L86" s="73" t="n">
        <f aca="false">L83-L23+L84</f>
        <v>6548.57942073008</v>
      </c>
      <c r="M86" s="73" t="n">
        <f aca="false">M83-M23+M84</f>
        <v>7295.76897865708</v>
      </c>
      <c r="N86" s="73" t="n">
        <f aca="false">N83-N23+N84</f>
        <v>7991.42958079137</v>
      </c>
      <c r="O86" s="73" t="n">
        <f aca="false">O83-O23+O84</f>
        <v>9258.34412271223</v>
      </c>
      <c r="P86" s="73" t="n">
        <f aca="false">P83-P23+P84</f>
        <v>10187.749210441</v>
      </c>
      <c r="Q86" s="73" t="n">
        <f aca="false">Q83-Q23+Q84</f>
        <v>10957.4906893969</v>
      </c>
      <c r="R86" s="73" t="n">
        <f aca="false">R83-R23+R84</f>
        <v>11366.6003204572</v>
      </c>
      <c r="S86" s="73" t="n">
        <f aca="false">S83-S23+S84</f>
        <v>12131.9607884115</v>
      </c>
      <c r="T86" s="73" t="n">
        <f aca="false">T83-T23+T84</f>
        <v>12951.0192095703</v>
      </c>
      <c r="U86" s="73" t="n">
        <f aca="false">U83-U23+U84</f>
        <v>13761.9217886133</v>
      </c>
      <c r="V86" s="73" t="n">
        <f aca="false">V83-V23+V84</f>
        <v>14554.000109752</v>
      </c>
      <c r="W86" s="73" t="n">
        <f aca="false">W83-W23+W84</f>
        <v>15417.6525987768</v>
      </c>
      <c r="X86" s="73" t="n">
        <f aca="false">X83-X23+X84</f>
        <v>16244.2378388991</v>
      </c>
      <c r="Y86" s="73" t="n">
        <f aca="false">Y83-Y23+Y84</f>
        <v>17075.9785550092</v>
      </c>
      <c r="Z86" s="73" t="n">
        <f aca="false">Z83-Z23+Z84</f>
        <v>17955.8751995083</v>
      </c>
      <c r="AA86" s="73" t="n">
        <f aca="false">AA83-AA23+AA84</f>
        <v>19827.6281795574</v>
      </c>
      <c r="AB86" s="73" t="n">
        <f aca="false">AB83-AB23+AB84</f>
        <v>20947.9238616017</v>
      </c>
      <c r="AC86" s="73" t="n">
        <f aca="false">AC83-AC23+AC84</f>
        <v>21741.1956754415</v>
      </c>
      <c r="AD86" s="73" t="n">
        <f aca="false">AD83-AD23+AD84</f>
        <v>21996.7634078974</v>
      </c>
      <c r="AE86" s="73" t="n">
        <f aca="false">AE83-AE23+AE84</f>
        <v>22797.9233671076</v>
      </c>
      <c r="AF86" s="73" t="n">
        <f aca="false">AF83-AF23+AF84</f>
        <v>23661.3933303969</v>
      </c>
      <c r="AG86" s="73" t="n">
        <f aca="false">AG83-AG23+AG84</f>
        <v>24529.4582973572</v>
      </c>
      <c r="AH86" s="73" t="n">
        <f aca="false">AH83-AH23+AH84</f>
        <v>25345.1747676215</v>
      </c>
      <c r="AI86" s="73" t="n">
        <f aca="false">AI83-AI23+AI84</f>
        <v>26202.2935908593</v>
      </c>
      <c r="AJ86" s="73" t="n">
        <f aca="false">AJ83-AJ23+AJ84</f>
        <v>26779.5105317734</v>
      </c>
      <c r="AK86" s="73" t="n">
        <f aca="false">AK83-AK23+AK84</f>
        <v>27301.085778596</v>
      </c>
      <c r="AL86" s="73" t="n">
        <f aca="false">AL83-AL23+AL84</f>
        <v>27808.0235007364</v>
      </c>
      <c r="AM86" s="73" t="n">
        <f aca="false">AM83-AM23+AM84</f>
        <v>27787.2274506628</v>
      </c>
    </row>
    <row r="87" customFormat="false" ht="15" hidden="false" customHeight="true" outlineLevel="0" collapsed="false">
      <c r="A87" s="16" t="s">
        <v>520</v>
      </c>
      <c r="C87" s="73" t="n">
        <v>0</v>
      </c>
      <c r="D87" s="73" t="n">
        <f aca="false">C90</f>
        <v>200</v>
      </c>
      <c r="E87" s="73" t="n">
        <f aca="false">D90</f>
        <v>277.642</v>
      </c>
      <c r="F87" s="73" t="n">
        <f aca="false">E90</f>
        <v>324.04025</v>
      </c>
      <c r="G87" s="73" t="n">
        <f aca="false">F90</f>
        <v>474.815175</v>
      </c>
      <c r="H87" s="73" t="n">
        <f aca="false">G90</f>
        <v>772.4594075</v>
      </c>
      <c r="I87" s="73" t="n">
        <f aca="false">H90</f>
        <v>1000.46501675</v>
      </c>
      <c r="J87" s="73" t="n">
        <f aca="false">I90</f>
        <v>1282.60659840833</v>
      </c>
      <c r="K87" s="73" t="n">
        <f aca="false">J90</f>
        <v>1517.4812885675</v>
      </c>
      <c r="L87" s="73" t="n">
        <f aca="false">K90</f>
        <v>1803.82650971075</v>
      </c>
      <c r="M87" s="73" t="n">
        <f aca="false">L90</f>
        <v>2040.50594207301</v>
      </c>
      <c r="N87" s="73" t="n">
        <f aca="false">M90</f>
        <v>2326.49689786571</v>
      </c>
      <c r="O87" s="73" t="n">
        <f aca="false">N90</f>
        <v>2460.87895807914</v>
      </c>
      <c r="P87" s="73" t="n">
        <f aca="false">O90</f>
        <v>2773.89041227122</v>
      </c>
      <c r="Q87" s="73" t="n">
        <f aca="false">P90</f>
        <v>2997.4456410441</v>
      </c>
      <c r="R87" s="73" t="n">
        <f aca="false">Q90</f>
        <v>3121.10522893969</v>
      </c>
      <c r="S87" s="73" t="n">
        <f aca="false">R90</f>
        <v>3185.30643204572</v>
      </c>
      <c r="T87" s="73" t="n">
        <f aca="false">S90</f>
        <v>3392.21367884115</v>
      </c>
      <c r="U87" s="73" t="n">
        <f aca="false">T90</f>
        <v>3565.50352095703</v>
      </c>
      <c r="V87" s="73" t="n">
        <f aca="false">U90</f>
        <v>3703.99057886133</v>
      </c>
      <c r="W87" s="73" t="n">
        <f aca="false">V90</f>
        <v>3906.6080109752</v>
      </c>
      <c r="X87" s="73" t="n">
        <f aca="false">W90</f>
        <v>4072.39565987768</v>
      </c>
      <c r="Y87" s="73" t="n">
        <f aca="false">X90</f>
        <v>4250.48938388991</v>
      </c>
      <c r="Z87" s="73" t="n">
        <f aca="false">Y90</f>
        <v>4440.11145550092</v>
      </c>
      <c r="AA87" s="73" t="n">
        <f aca="false">Z90</f>
        <v>4640.56191995083</v>
      </c>
      <c r="AB87" s="73" t="n">
        <f aca="false">AA90</f>
        <v>5051.21081795574</v>
      </c>
      <c r="AC87" s="73" t="n">
        <f aca="false">AB90</f>
        <v>5266.70374616017</v>
      </c>
      <c r="AD87" s="73" t="n">
        <f aca="false">AC90</f>
        <v>5415.56500754415</v>
      </c>
      <c r="AE87" s="73" t="n">
        <f aca="false">AD90</f>
        <v>5422.02898078974</v>
      </c>
      <c r="AF87" s="73" t="n">
        <f aca="false">AE90</f>
        <v>5574.66977671076</v>
      </c>
      <c r="AG87" s="73" t="n">
        <f aca="false">AF90</f>
        <v>5789.55437303969</v>
      </c>
      <c r="AH87" s="73" t="n">
        <f aca="false">AG90</f>
        <v>5965.91126973572</v>
      </c>
      <c r="AI87" s="73" t="n">
        <f aca="false">AH90</f>
        <v>6153.04611676215</v>
      </c>
      <c r="AJ87" s="73" t="n">
        <f aca="false">AI90</f>
        <v>6300.33399908593</v>
      </c>
      <c r="AK87" s="73" t="n">
        <f aca="false">AJ90</f>
        <v>6416.13569317734</v>
      </c>
      <c r="AL87" s="73" t="n">
        <f aca="false">AK90</f>
        <v>6545.33321785961</v>
      </c>
      <c r="AM87" s="73" t="n">
        <f aca="false">AL90</f>
        <v>6642.02699007365</v>
      </c>
    </row>
    <row r="88" customFormat="false" ht="15" hidden="false" customHeight="true" outlineLevel="0" collapsed="false">
      <c r="A88" s="16" t="s">
        <v>521</v>
      </c>
      <c r="C88" s="73" t="n">
        <f aca="false">Допущения!$G$62</f>
        <v>200</v>
      </c>
      <c r="D88" s="73" t="n">
        <f aca="false">IF(Допущения!$B$41*E24&gt;D87-D24,MAX(Допущения!$B$42,CEILING(Допущения!$B$41*E24-(D87-D24),50)),0)</f>
        <v>150</v>
      </c>
      <c r="E88" s="73" t="n">
        <f aca="false">IF(Допущения!$B$41*F24&gt;E87-E24,MAX(Допущения!$B$42,CEILING(Допущения!$B$41*F24-(E87-E24),50)),0)</f>
        <v>250</v>
      </c>
      <c r="F88" s="73" t="n">
        <f aca="false">IF(Допущения!$B$41*G24&gt;F87-F24,MAX(Допущения!$B$42,CEILING(Допущения!$B$41*G24-(F87-F24),50)),0)</f>
        <v>400</v>
      </c>
      <c r="G88" s="73" t="n">
        <f aca="false">IF(Допущения!$B$41*H24&gt;G87-G24,MAX(Допущения!$B$42,CEILING(Допущения!$B$41*H24-(G87-G24),50)),0)</f>
        <v>650</v>
      </c>
      <c r="H88" s="73" t="n">
        <f aca="false">IF(Допущения!$B$41*I24&gt;H87-H24,MAX(Допущения!$B$42,CEILING(Допущения!$B$41*I24-(H87-H24),50)),0)</f>
        <v>800</v>
      </c>
      <c r="I88" s="73" t="n">
        <f aca="false">IF(Допущения!$B$41*J24&gt;I87-I24,MAX(Допущения!$B$42,CEILING(Допущения!$B$41*J24-(I87-I24),50)),0)</f>
        <v>1050</v>
      </c>
      <c r="J88" s="73" t="n">
        <f aca="false">IF(Допущения!$B$41*K24&gt;J87-J24,MAX(Допущения!$B$42,CEILING(Допущения!$B$41*K24-(J87-J24),50)),0)</f>
        <v>1200</v>
      </c>
      <c r="K88" s="73" t="n">
        <f aca="false">IF(Допущения!$B$41*L24&gt;K87-K24,MAX(Допущения!$B$42,CEILING(Допущения!$B$41*L24-(K87-K24),50)),0)</f>
        <v>1450</v>
      </c>
      <c r="L88" s="73" t="n">
        <f aca="false">IF(Допущения!$B$41*M24&gt;L87-L24,MAX(Допущения!$B$42,CEILING(Допущения!$B$41*M24-(L87-L24),50)),0)</f>
        <v>1600</v>
      </c>
      <c r="M88" s="73" t="n">
        <f aca="false">IF(Допущения!$B$41*N24&gt;M87-M24,MAX(Допущения!$B$42,CEILING(Допущения!$B$41*N24-(M87-M24),50)),0)</f>
        <v>1850</v>
      </c>
      <c r="N88" s="73" t="n">
        <f aca="false">IF(Допущения!$B$41*O24&gt;N87-N24,MAX(Допущения!$B$42,CEILING(Допущения!$B$41*O24-(N87-N24),50)),0)</f>
        <v>1900</v>
      </c>
      <c r="O88" s="73" t="n">
        <f aca="false">IF(Допущения!$B$41*P24&gt;O87-O24,MAX(Допущения!$B$42,CEILING(Допущения!$B$41*P24-(O87-O24),50)),0)</f>
        <v>2200</v>
      </c>
      <c r="P88" s="73" t="n">
        <f aca="false">IF(Допущения!$B$41*Q24&gt;P87-P24,MAX(Допущения!$B$42,CEILING(Допущения!$B$41*Q24-(P87-P24),50)),0)</f>
        <v>2350</v>
      </c>
      <c r="Q88" s="73" t="n">
        <f aca="false">IF(Допущения!$B$41*R24&gt;Q87-Q24,MAX(Допущения!$B$42,CEILING(Допущения!$B$41*R24-(Q87-Q24),50)),0)</f>
        <v>2400</v>
      </c>
      <c r="R88" s="73" t="n">
        <f aca="false">IF(Допущения!$B$41*S24&gt;R87-R24,MAX(Допущения!$B$42,CEILING(Допущения!$B$41*S24-(R87-R24),50)),0)</f>
        <v>2450</v>
      </c>
      <c r="S88" s="73" t="n">
        <f aca="false">IF(Допущения!$B$41*T24&gt;S87-S24,MAX(Допущения!$B$42,CEILING(Допущения!$B$41*T24-(S87-S24),50)),0)</f>
        <v>2650</v>
      </c>
      <c r="T88" s="73" t="n">
        <f aca="false">IF(Допущения!$B$41*U24&gt;T87-T24,MAX(Допущения!$B$42,CEILING(Допущения!$B$41*U24-(T87-T24),50)),0)</f>
        <v>2750</v>
      </c>
      <c r="U88" s="73" t="n">
        <f aca="false">IF(Допущения!$B$41*V24&gt;U87-U24,MAX(Допущения!$B$42,CEILING(Допущения!$B$41*V24-(U87-U24),50)),0)</f>
        <v>2850</v>
      </c>
      <c r="V88" s="73" t="n">
        <f aca="false">IF(Допущения!$B$41*W24&gt;V87-V24,MAX(Допущения!$B$42,CEILING(Допущения!$B$41*W24-(V87-V24),50)),0)</f>
        <v>3050</v>
      </c>
      <c r="W88" s="73" t="n">
        <f aca="false">IF(Допущения!$B$41*X24&gt;W87-W24,MAX(Допущения!$B$42,CEILING(Допущения!$B$41*X24-(W87-W24),50)),0)</f>
        <v>3150</v>
      </c>
      <c r="X88" s="73" t="n">
        <f aca="false">IF(Допущения!$B$41*Y24&gt;X87-X24,MAX(Допущения!$B$42,CEILING(Допущения!$B$41*Y24-(X87-X24),50)),0)</f>
        <v>3300</v>
      </c>
      <c r="Y88" s="73" t="n">
        <f aca="false">IF(Допущения!$B$41*Z24&gt;Y87-Y24,MAX(Допущения!$B$42,CEILING(Допущения!$B$41*Z24-(Y87-Y24),50)),0)</f>
        <v>3450</v>
      </c>
      <c r="Z88" s="73" t="n">
        <f aca="false">IF(Допущения!$B$41*AA24&gt;Z87-Z24,MAX(Допущения!$B$42,CEILING(Допущения!$B$41*AA24-(Z87-Z24),50)),0)</f>
        <v>3600</v>
      </c>
      <c r="AA88" s="73" t="n">
        <f aca="false">IF(Допущения!$B$41*AB24&gt;AA87-AA24,MAX(Допущения!$B$42,CEILING(Допущения!$B$41*AB24-(AA87-AA24),50)),0)</f>
        <v>3950</v>
      </c>
      <c r="AB88" s="73" t="n">
        <f aca="false">IF(Допущения!$B$41*AC24&gt;AB87-AB24,MAX(Допущения!$B$42,CEILING(Допущения!$B$41*AC24-(AB87-AB24),50)),0)</f>
        <v>4100</v>
      </c>
      <c r="AC88" s="73" t="n">
        <f aca="false">IF(Допущения!$B$41*AD24&gt;AC87-AC24,MAX(Допущения!$B$42,CEILING(Допущения!$B$41*AD24-(AC87-AC24),50)),0)</f>
        <v>4200</v>
      </c>
      <c r="AD88" s="73" t="n">
        <f aca="false">IF(Допущения!$B$41*AE24&gt;AD87-AD24,MAX(Допущения!$B$42,CEILING(Допущения!$B$41*AE24-(AD87-AD24),50)),0)</f>
        <v>4150</v>
      </c>
      <c r="AE88" s="73" t="n">
        <f aca="false">IF(Допущения!$B$41*AF24&gt;AE87-AE24,MAX(Допущения!$B$42,CEILING(Допущения!$B$41*AF24-(AE87-AE24),50)),0)</f>
        <v>4300</v>
      </c>
      <c r="AF88" s="73" t="n">
        <f aca="false">IF(Допущения!$B$41*AG24&gt;AF87-AF24,MAX(Допущения!$B$42,CEILING(Допущения!$B$41*AG24-(AF87-AF24),50)),0)</f>
        <v>4500</v>
      </c>
      <c r="AG88" s="73" t="n">
        <f aca="false">IF(Допущения!$B$41*AH24&gt;AG87-AG24,MAX(Допущения!$B$42,CEILING(Допущения!$B$41*AH24-(AG87-AG24),50)),0)</f>
        <v>4600</v>
      </c>
      <c r="AH88" s="73" t="n">
        <f aca="false">IF(Допущения!$B$41*AI24&gt;AH87-AH24,MAX(Допущения!$B$42,CEILING(Допущения!$B$41*AI24-(AH87-AH24),50)),0)</f>
        <v>4750</v>
      </c>
      <c r="AI88" s="73" t="n">
        <f aca="false">IF(Допущения!$B$41*AJ24&gt;AI87-AI24,MAX(Допущения!$B$42,CEILING(Допущения!$B$41*AJ24-(AI87-AI24),50)),0)</f>
        <v>4850</v>
      </c>
      <c r="AJ88" s="73" t="n">
        <f aca="false">IF(Допущения!$B$41*AK24&gt;AJ87-AJ24,MAX(Допущения!$B$42,CEILING(Допущения!$B$41*AK24-(AJ87-AJ24),50)),0)</f>
        <v>4950</v>
      </c>
      <c r="AK88" s="73" t="n">
        <f aca="false">IF(Допущения!$B$41*AL24&gt;AK87-AK24,MAX(Допущения!$B$42,CEILING(Допущения!$B$41*AL24-(AK87-AK24),50)),0)</f>
        <v>5050</v>
      </c>
      <c r="AL88" s="73" t="n">
        <f aca="false">IF(Допущения!$B$41*AM24&gt;AL87-AL24,MAX(Допущения!$B$42,CEILING(Допущения!$B$41*AM24-(AL87-AL24),50)),0)</f>
        <v>5100</v>
      </c>
      <c r="AM88" s="73" t="n">
        <f aca="false">IF(Допущения!$B$41*AM24&gt;AM87-AM24,MAX(Допущения!$B$42,CEILING(Допущения!$B$41*AM24-(AM87-AM24),50)),0)</f>
        <v>5050</v>
      </c>
    </row>
    <row r="89" customFormat="false" ht="15" hidden="false" customHeight="true" outlineLevel="0" collapsed="false">
      <c r="A89" s="16" t="s">
        <v>522</v>
      </c>
      <c r="C89" s="76" t="n">
        <f aca="false">IF(C88=0,0,C88*IFERROR(INDEX(Допущения!$H$62:$O$62,MATCH(C88,Допущения!$H$58:$O$58,1)),Допущения!$H$62)*IF(C2=0,1,Допущения!$E$19))</f>
        <v>1380</v>
      </c>
      <c r="D89" s="76" t="n">
        <f aca="false">IF(D88=0,0,D88*IFERROR(INDEX(Допущения!$H$62:$O$62,MATCH(D88,Допущения!$H$58:$O$58,1)),Допущения!$H$62)*IF(D2=0,1,Допущения!$E$19))</f>
        <v>1035</v>
      </c>
      <c r="E89" s="76" t="n">
        <f aca="false">IF(E88=0,0,E88*IFERROR(INDEX(Допущения!$H$62:$O$62,MATCH(E88,Допущения!$H$58:$O$58,1)),Допущения!$H$62)*IF(E2=0,1,Допущения!$E$19))</f>
        <v>1725</v>
      </c>
      <c r="F89" s="76" t="n">
        <f aca="false">IF(F88=0,0,F88*IFERROR(INDEX(Допущения!$H$62:$O$62,MATCH(F88,Допущения!$H$58:$O$58,1)),Допущения!$H$62)*IF(F2=0,1,Допущения!$E$19))</f>
        <v>2700</v>
      </c>
      <c r="G89" s="76" t="n">
        <f aca="false">IF(G88=0,0,G88*IFERROR(INDEX(Допущения!$H$62:$O$62,MATCH(G88,Допущения!$H$58:$O$58,1)),Допущения!$H$62)*IF(G2=0,1,Допущения!$E$19))</f>
        <v>4225</v>
      </c>
      <c r="H89" s="76" t="n">
        <f aca="false">IF(H88=0,0,H88*IFERROR(INDEX(Допущения!$H$62:$O$62,MATCH(H88,Допущения!$H$58:$O$58,1)),Допущения!$H$62)*IF(H2=0,1,Допущения!$E$19))</f>
        <v>5200</v>
      </c>
      <c r="I89" s="76" t="n">
        <f aca="false">IF(I88=0,0,I88*IFERROR(INDEX(Допущения!$H$62:$O$62,MATCH(I88,Допущения!$H$58:$O$58,1)),Допущения!$H$62)*IF(I2=0,1,Допущения!$E$19))</f>
        <v>6667.5</v>
      </c>
      <c r="J89" s="76" t="n">
        <f aca="false">IF(J88=0,0,J88*IFERROR(INDEX(Допущения!$H$62:$O$62,MATCH(J88,Допущения!$H$58:$O$58,1)),Допущения!$H$62)*IF(J2=0,1,Допущения!$E$19))</f>
        <v>7620</v>
      </c>
      <c r="K89" s="76" t="n">
        <f aca="false">IF(K88=0,0,K88*IFERROR(INDEX(Допущения!$H$62:$O$62,MATCH(K88,Допущения!$H$58:$O$58,1)),Допущения!$H$62)*IF(K2=0,1,Допущения!$E$19))</f>
        <v>9207.5</v>
      </c>
      <c r="L89" s="76" t="n">
        <f aca="false">IF(L88=0,0,L88*IFERROR(INDEX(Допущения!$H$62:$O$62,MATCH(L88,Допущения!$H$58:$O$58,1)),Допущения!$H$62)*IF(L2=0,1,Допущения!$E$19))</f>
        <v>10160</v>
      </c>
      <c r="M89" s="76" t="n">
        <f aca="false">IF(M88=0,0,M88*IFERROR(INDEX(Допущения!$H$62:$O$62,MATCH(M88,Допущения!$H$58:$O$58,1)),Допущения!$H$62)*IF(M2=0,1,Допущения!$E$19))</f>
        <v>11747.5</v>
      </c>
      <c r="N89" s="76" t="n">
        <f aca="false">IF(N88=0,0,N88*IFERROR(INDEX(Допущения!$H$62:$O$62,MATCH(N88,Допущения!$H$58:$O$58,1)),Допущения!$H$62)*IF(N2=0,1,Допущения!$E$19))</f>
        <v>12065</v>
      </c>
      <c r="O89" s="76" t="n">
        <f aca="false">IF(O88=0,0,O88*IFERROR(INDEX(Допущения!$H$62:$O$62,MATCH(O88,Допущения!$H$58:$O$58,1)),Допущения!$H$62)*IF(O2=0,1,Допущения!$E$19))</f>
        <v>13970</v>
      </c>
      <c r="P89" s="76" t="n">
        <f aca="false">IF(P88=0,0,P88*IFERROR(INDEX(Допущения!$H$62:$O$62,MATCH(P88,Допущения!$H$58:$O$58,1)),Допущения!$H$62)*IF(P2=0,1,Допущения!$E$19))</f>
        <v>14922.5</v>
      </c>
      <c r="Q89" s="76" t="n">
        <f aca="false">IF(Q88=0,0,Q88*IFERROR(INDEX(Допущения!$H$62:$O$62,MATCH(Q88,Допущения!$H$58:$O$58,1)),Допущения!$H$62)*IF(Q2=0,1,Допущения!$E$19))</f>
        <v>15240</v>
      </c>
      <c r="R89" s="76" t="n">
        <f aca="false">IF(R88=0,0,R88*IFERROR(INDEX(Допущения!$H$62:$O$62,MATCH(R88,Допущения!$H$58:$O$58,1)),Допущения!$H$62)*IF(R2=0,1,Допущения!$E$19))</f>
        <v>15557.5</v>
      </c>
      <c r="S89" s="76" t="n">
        <f aca="false">IF(S88=0,0,S88*IFERROR(INDEX(Допущения!$H$62:$O$62,MATCH(S88,Допущения!$H$58:$O$58,1)),Допущения!$H$62)*IF(S2=0,1,Допущения!$E$19))</f>
        <v>16430</v>
      </c>
      <c r="T89" s="76" t="n">
        <f aca="false">IF(T88=0,0,T88*IFERROR(INDEX(Допущения!$H$62:$O$62,MATCH(T88,Допущения!$H$58:$O$58,1)),Допущения!$H$62)*IF(T2=0,1,Допущения!$E$19))</f>
        <v>17050</v>
      </c>
      <c r="U89" s="76" t="n">
        <f aca="false">IF(U88=0,0,U88*IFERROR(INDEX(Допущения!$H$62:$O$62,MATCH(U88,Допущения!$H$58:$O$58,1)),Допущения!$H$62)*IF(U2=0,1,Допущения!$E$19))</f>
        <v>17670</v>
      </c>
      <c r="V89" s="76" t="n">
        <f aca="false">IF(V88=0,0,V88*IFERROR(INDEX(Допущения!$H$62:$O$62,MATCH(V88,Допущения!$H$58:$O$58,1)),Допущения!$H$62)*IF(V2=0,1,Допущения!$E$19))</f>
        <v>18910</v>
      </c>
      <c r="W89" s="76" t="n">
        <f aca="false">IF(W88=0,0,W88*IFERROR(INDEX(Допущения!$H$62:$O$62,MATCH(W88,Допущения!$H$58:$O$58,1)),Допущения!$H$62)*IF(W2=0,1,Допущения!$E$19))</f>
        <v>19530</v>
      </c>
      <c r="X89" s="76" t="n">
        <f aca="false">IF(X88=0,0,X88*IFERROR(INDEX(Допущения!$H$62:$O$62,MATCH(X88,Допущения!$H$58:$O$58,1)),Допущения!$H$62)*IF(X2=0,1,Допущения!$E$19))</f>
        <v>20460</v>
      </c>
      <c r="Y89" s="76" t="n">
        <f aca="false">IF(Y88=0,0,Y88*IFERROR(INDEX(Допущения!$H$62:$O$62,MATCH(Y88,Допущения!$H$58:$O$58,1)),Допущения!$H$62)*IF(Y2=0,1,Допущения!$E$19))</f>
        <v>21390</v>
      </c>
      <c r="Z89" s="76" t="n">
        <f aca="false">IF(Z88=0,0,Z88*IFERROR(INDEX(Допущения!$H$62:$O$62,MATCH(Z88,Допущения!$H$58:$O$58,1)),Допущения!$H$62)*IF(Z2=0,1,Допущения!$E$19))</f>
        <v>22320</v>
      </c>
      <c r="AA89" s="76" t="n">
        <f aca="false">IF(AA88=0,0,AA88*IFERROR(INDEX(Допущения!$H$62:$O$62,MATCH(AA88,Допущения!$H$58:$O$58,1)),Допущения!$H$62)*IF(AA2=0,1,Допущения!$E$19))</f>
        <v>24490</v>
      </c>
      <c r="AB89" s="76" t="n">
        <f aca="false">IF(AB88=0,0,AB88*IFERROR(INDEX(Допущения!$H$62:$O$62,MATCH(AB88,Допущения!$H$58:$O$58,1)),Допущения!$H$62)*IF(AB2=0,1,Допущения!$E$19))</f>
        <v>25420</v>
      </c>
      <c r="AC89" s="76" t="n">
        <f aca="false">IF(AC88=0,0,AC88*IFERROR(INDEX(Допущения!$H$62:$O$62,MATCH(AC88,Допущения!$H$58:$O$58,1)),Допущения!$H$62)*IF(AC2=0,1,Допущения!$E$19))</f>
        <v>26040</v>
      </c>
      <c r="AD89" s="76" t="n">
        <f aca="false">IF(AD88=0,0,AD88*IFERROR(INDEX(Допущения!$H$62:$O$62,MATCH(AD88,Допущения!$H$58:$O$58,1)),Допущения!$H$62)*IF(AD2=0,1,Допущения!$E$19))</f>
        <v>25730</v>
      </c>
      <c r="AE89" s="76" t="n">
        <f aca="false">IF(AE88=0,0,AE88*IFERROR(INDEX(Допущения!$H$62:$O$62,MATCH(AE88,Допущения!$H$58:$O$58,1)),Допущения!$H$62)*IF(AE2=0,1,Допущения!$E$19))</f>
        <v>26660</v>
      </c>
      <c r="AF89" s="76" t="n">
        <f aca="false">IF(AF88=0,0,AF88*IFERROR(INDEX(Допущения!$H$62:$O$62,MATCH(AF88,Допущения!$H$58:$O$58,1)),Допущения!$H$62)*IF(AF2=0,1,Допущения!$E$19))</f>
        <v>27900</v>
      </c>
      <c r="AG89" s="76" t="n">
        <f aca="false">IF(AG88=0,0,AG88*IFERROR(INDEX(Допущения!$H$62:$O$62,MATCH(AG88,Допущения!$H$58:$O$58,1)),Допущения!$H$62)*IF(AG2=0,1,Допущения!$E$19))</f>
        <v>28520</v>
      </c>
      <c r="AH89" s="76" t="n">
        <f aca="false">IF(AH88=0,0,AH88*IFERROR(INDEX(Допущения!$H$62:$O$62,MATCH(AH88,Допущения!$H$58:$O$58,1)),Допущения!$H$62)*IF(AH2=0,1,Допущения!$E$19))</f>
        <v>29450</v>
      </c>
      <c r="AI89" s="76" t="n">
        <f aca="false">IF(AI88=0,0,AI88*IFERROR(INDEX(Допущения!$H$62:$O$62,MATCH(AI88,Допущения!$H$58:$O$58,1)),Допущения!$H$62)*IF(AI2=0,1,Допущения!$E$19))</f>
        <v>30070</v>
      </c>
      <c r="AJ89" s="76" t="n">
        <f aca="false">IF(AJ88=0,0,AJ88*IFERROR(INDEX(Допущения!$H$62:$O$62,MATCH(AJ88,Допущения!$H$58:$O$58,1)),Допущения!$H$62)*IF(AJ2=0,1,Допущения!$E$19))</f>
        <v>30690</v>
      </c>
      <c r="AK89" s="76" t="n">
        <f aca="false">IF(AK88=0,0,AK88*IFERROR(INDEX(Допущения!$H$62:$O$62,MATCH(AK88,Допущения!$H$58:$O$58,1)),Допущения!$H$62)*IF(AK2=0,1,Допущения!$E$19))</f>
        <v>30552.5</v>
      </c>
      <c r="AL89" s="76" t="n">
        <f aca="false">IF(AL88=0,0,AL88*IFERROR(INDEX(Допущения!$H$62:$O$62,MATCH(AL88,Допущения!$H$58:$O$58,1)),Допущения!$H$62)*IF(AL2=0,1,Допущения!$E$19))</f>
        <v>30855</v>
      </c>
      <c r="AM89" s="76" t="n">
        <f aca="false">IF(AM88=0,0,AM88*IFERROR(INDEX(Допущения!$H$62:$O$62,MATCH(AM88,Допущения!$H$58:$O$58,1)),Допущения!$H$62)*IF(AM2=0,1,Допущения!$E$19))</f>
        <v>30552.5</v>
      </c>
    </row>
    <row r="90" customFormat="false" ht="15" hidden="false" customHeight="true" outlineLevel="0" collapsed="false">
      <c r="A90" s="16" t="s">
        <v>523</v>
      </c>
      <c r="C90" s="73" t="n">
        <f aca="false">C87-C24+C88</f>
        <v>200</v>
      </c>
      <c r="D90" s="73" t="n">
        <f aca="false">D87-D24+D88</f>
        <v>277.642</v>
      </c>
      <c r="E90" s="73" t="n">
        <f aca="false">E87-E24+E88</f>
        <v>324.04025</v>
      </c>
      <c r="F90" s="73" t="n">
        <f aca="false">F87-F24+F88</f>
        <v>474.815175</v>
      </c>
      <c r="G90" s="73" t="n">
        <f aca="false">G87-G24+G88</f>
        <v>772.4594075</v>
      </c>
      <c r="H90" s="73" t="n">
        <f aca="false">H87-H24+H88</f>
        <v>1000.46501675</v>
      </c>
      <c r="I90" s="73" t="n">
        <f aca="false">I87-I24+I88</f>
        <v>1282.60659840833</v>
      </c>
      <c r="J90" s="73" t="n">
        <f aca="false">J87-J24+J88</f>
        <v>1517.4812885675</v>
      </c>
      <c r="K90" s="73" t="n">
        <f aca="false">K87-K24+K88</f>
        <v>1803.82650971075</v>
      </c>
      <c r="L90" s="73" t="n">
        <f aca="false">L87-L24+L88</f>
        <v>2040.50594207301</v>
      </c>
      <c r="M90" s="73" t="n">
        <f aca="false">M87-M24+M88</f>
        <v>2326.49689786571</v>
      </c>
      <c r="N90" s="73" t="n">
        <f aca="false">N87-N24+N88</f>
        <v>2460.87895807914</v>
      </c>
      <c r="O90" s="73" t="n">
        <f aca="false">O87-O24+O88</f>
        <v>2773.89041227122</v>
      </c>
      <c r="P90" s="73" t="n">
        <f aca="false">P87-P24+P88</f>
        <v>2997.4456410441</v>
      </c>
      <c r="Q90" s="73" t="n">
        <f aca="false">Q87-Q24+Q88</f>
        <v>3121.10522893969</v>
      </c>
      <c r="R90" s="73" t="n">
        <f aca="false">R87-R24+R88</f>
        <v>3185.30643204572</v>
      </c>
      <c r="S90" s="73" t="n">
        <f aca="false">S87-S24+S88</f>
        <v>3392.21367884115</v>
      </c>
      <c r="T90" s="73" t="n">
        <f aca="false">T87-T24+T88</f>
        <v>3565.50352095703</v>
      </c>
      <c r="U90" s="73" t="n">
        <f aca="false">U87-U24+U88</f>
        <v>3703.99057886133</v>
      </c>
      <c r="V90" s="73" t="n">
        <f aca="false">V87-V24+V88</f>
        <v>3906.6080109752</v>
      </c>
      <c r="W90" s="73" t="n">
        <f aca="false">W87-W24+W88</f>
        <v>4072.39565987768</v>
      </c>
      <c r="X90" s="73" t="n">
        <f aca="false">X87-X24+X88</f>
        <v>4250.48938388991</v>
      </c>
      <c r="Y90" s="73" t="n">
        <f aca="false">Y87-Y24+Y88</f>
        <v>4440.11145550092</v>
      </c>
      <c r="Z90" s="73" t="n">
        <f aca="false">Z87-Z24+Z88</f>
        <v>4640.56191995083</v>
      </c>
      <c r="AA90" s="73" t="n">
        <f aca="false">AA87-AA24+AA88</f>
        <v>5051.21081795574</v>
      </c>
      <c r="AB90" s="73" t="n">
        <f aca="false">AB87-AB24+AB88</f>
        <v>5266.70374616017</v>
      </c>
      <c r="AC90" s="73" t="n">
        <f aca="false">AC87-AC24+AC88</f>
        <v>5415.56500754415</v>
      </c>
      <c r="AD90" s="73" t="n">
        <f aca="false">AD87-AD24+AD88</f>
        <v>5422.02898078974</v>
      </c>
      <c r="AE90" s="73" t="n">
        <f aca="false">AE87-AE24+AE88</f>
        <v>5574.66977671076</v>
      </c>
      <c r="AF90" s="73" t="n">
        <f aca="false">AF87-AF24+AF88</f>
        <v>5789.55437303969</v>
      </c>
      <c r="AG90" s="73" t="n">
        <f aca="false">AG87-AG24+AG88</f>
        <v>5965.91126973572</v>
      </c>
      <c r="AH90" s="73" t="n">
        <f aca="false">AH87-AH24+AH88</f>
        <v>6153.04611676215</v>
      </c>
      <c r="AI90" s="73" t="n">
        <f aca="false">AI87-AI24+AI88</f>
        <v>6300.33399908593</v>
      </c>
      <c r="AJ90" s="73" t="n">
        <f aca="false">AJ87-AJ24+AJ88</f>
        <v>6416.13569317734</v>
      </c>
      <c r="AK90" s="73" t="n">
        <f aca="false">AK87-AK24+AK88</f>
        <v>6545.33321785961</v>
      </c>
      <c r="AL90" s="73" t="n">
        <f aca="false">AL87-AL24+AL88</f>
        <v>6642.02699007365</v>
      </c>
      <c r="AM90" s="73" t="n">
        <f aca="false">AM87-AM24+AM88</f>
        <v>6609.90738506628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2026-10-03T17:42:17Z</dcterms:created>
  <dc:creator>openpyxl</dc:creator>
  <dc:description/>
  <dc:language>en-US</dc:language>
  <cp:lastModifiedBy/>
  <dcterms:modified xsi:type="dcterms:W3CDTF">2026-10-03T17:43:56Z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