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Себестоимость" sheetId="2" state="visible" r:id="rId4"/>
    <sheet name="Прибыль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Магний, ашваганда, моринга, шиладжит</t>
        </r>
      </text>
    </comment>
    <comment ref="B5" authorId="0">
      <text>
        <r>
          <rPr>
            <sz val="10"/>
            <rFont val="Arial"/>
            <family val="2"/>
          </rPr>
          <t xml:space="preserve">Пробная партия: 60 000 капсул на SKU</t>
        </r>
      </text>
    </comment>
    <comment ref="B7" authorId="0">
      <text>
        <r>
          <rPr>
            <sz val="10"/>
            <rFont val="Arial"/>
            <family val="2"/>
          </rPr>
          <t xml:space="preserve">30 саше по 2 капсулы</t>
        </r>
      </text>
    </comment>
    <comment ref="B11" authorId="0">
      <text>
        <r>
          <rPr>
            <sz val="10"/>
            <rFont val="Arial"/>
            <family val="2"/>
          </rPr>
          <t xml:space="preserve">Модель 28.10: капсулы $2.50 за 60 шт (допущение)</t>
        </r>
      </text>
    </comment>
    <comment ref="B12" authorId="0">
      <text>
        <r>
          <rPr>
            <sz val="10"/>
            <rFont val="Arial"/>
            <family val="2"/>
          </rPr>
          <t xml:space="preserve">Модель 28.10: ручная фасовка</t>
        </r>
      </text>
    </comment>
    <comment ref="B13" authorId="0">
      <text>
        <r>
          <rPr>
            <sz val="10"/>
            <rFont val="Arial"/>
            <family val="2"/>
          </rPr>
          <t xml:space="preserve">Модель 28.10: коробка и пакет</t>
        </r>
      </text>
    </comment>
    <comment ref="B14" authorId="0">
      <text>
        <r>
          <rPr>
            <sz val="10"/>
            <rFont val="Arial"/>
            <family val="2"/>
          </rPr>
          <t xml:space="preserve">Модель: $0.50 за коробку</t>
        </r>
      </text>
    </comment>
    <comment ref="B17" authorId="0">
      <text>
        <r>
          <rPr>
            <sz val="10"/>
            <rFont val="Arial"/>
            <family val="2"/>
          </rPr>
          <t xml:space="preserve">В модели 28.10 не было</t>
        </r>
      </text>
    </comment>
    <comment ref="B24" authorId="0">
      <text>
        <r>
          <rPr>
            <sz val="10"/>
            <rFont val="Arial"/>
            <family val="2"/>
          </rPr>
          <t xml:space="preserve">Стратегия ALDERA</t>
        </r>
      </text>
    </comment>
    <comment ref="B25" authorId="0">
      <text>
        <r>
          <rPr>
            <sz val="10"/>
            <rFont val="Arial"/>
            <family val="2"/>
          </rPr>
          <t xml:space="preserve">Модель 28.10</t>
        </r>
      </text>
    </comment>
    <comment ref="B28" authorId="0">
      <text>
        <r>
          <rPr>
            <sz val="10"/>
            <rFont val="Arial"/>
            <family val="2"/>
          </rPr>
          <t xml:space="preserve">Shopify Payments</t>
        </r>
      </text>
    </comment>
    <comment ref="B30" authorId="0">
      <text>
        <r>
          <rPr>
            <sz val="10"/>
            <rFont val="Arial"/>
            <family val="2"/>
          </rPr>
          <t xml:space="preserve">Health, официально 6%</t>
        </r>
      </text>
    </comment>
    <comment ref="B32" authorId="0">
      <text>
        <r>
          <rPr>
            <sz val="10"/>
            <rFont val="Arial"/>
            <family val="2"/>
          </rPr>
          <t xml:space="preserve">USPS Ground Advantage</t>
        </r>
      </text>
    </comment>
    <comment ref="B34" authorId="0">
      <text>
        <r>
          <rPr>
            <sz val="10"/>
            <rFont val="Arial"/>
            <family val="2"/>
          </rPr>
          <t xml:space="preserve">Открытая комиссия</t>
        </r>
      </text>
    </comment>
    <comment ref="B35" authorId="0">
      <text>
        <r>
          <rPr>
            <sz val="10"/>
            <rFont val="Arial"/>
            <family val="2"/>
          </rPr>
          <t xml:space="preserve">Топ-50</t>
        </r>
      </text>
    </comment>
    <comment ref="B38" authorId="0">
      <text>
        <r>
          <rPr>
            <sz val="10"/>
            <rFont val="Arial"/>
            <family val="2"/>
          </rPr>
          <t xml:space="preserve">ДОПУЩЕНИЕ: структура продаж, проверить на первых неделях</t>
        </r>
      </text>
    </comment>
    <comment ref="B39" authorId="0">
      <text>
        <r>
          <rPr>
            <sz val="10"/>
            <rFont val="Arial"/>
            <family val="2"/>
          </rPr>
          <t xml:space="preserve">ДОПУЩЕНИЕ: структура продаж, проверить на первых неделях</t>
        </r>
      </text>
    </comment>
    <comment ref="B40" authorId="0">
      <text>
        <r>
          <rPr>
            <sz val="10"/>
            <rFont val="Arial"/>
            <family val="2"/>
          </rPr>
          <t xml:space="preserve">ДОПУЩЕНИЕ: структура продаж, проверить на первых неделях</t>
        </r>
      </text>
    </comment>
    <comment ref="B41" authorId="0">
      <text>
        <r>
          <rPr>
            <sz val="10"/>
            <rFont val="Arial"/>
            <family val="2"/>
          </rPr>
          <t xml:space="preserve">ДОПУЩЕНИЕ: структура продаж, проверить на первых неделях</t>
        </r>
      </text>
    </comment>
    <comment ref="B43" authorId="0">
      <text>
        <r>
          <rPr>
            <sz val="10"/>
            <rFont val="Arial"/>
            <family val="2"/>
          </rPr>
          <t xml:space="preserve">2 волны по 50</t>
        </r>
      </text>
    </comment>
    <comment ref="C11" authorId="0">
      <text>
        <r>
          <rPr>
            <sz val="10"/>
            <rFont val="Arial"/>
            <family val="2"/>
          </rPr>
          <t xml:space="preserve">Ответ поставщика с Alibaba 29.10: $1.85 за коробку при 1 000, EXW, но за таблетки</t>
        </r>
      </text>
    </comment>
    <comment ref="C12" authorId="0">
      <text>
        <r>
          <rPr>
            <sz val="10"/>
            <rFont val="Arial"/>
            <family val="2"/>
          </rPr>
          <t xml:space="preserve">Входит в цену завода</t>
        </r>
      </text>
    </comment>
    <comment ref="C13" authorId="0">
      <text>
        <r>
          <rPr>
            <sz val="10"/>
            <rFont val="Arial"/>
            <family val="2"/>
          </rPr>
          <t xml:space="preserve">Входит</t>
        </r>
      </text>
    </comment>
    <comment ref="C14" authorId="0">
      <text>
        <r>
          <rPr>
            <sz val="10"/>
            <rFont val="Arial"/>
            <family val="2"/>
          </rPr>
          <t xml:space="preserve">Сборный груз морем ~4.4 м³ до Флориды</t>
        </r>
      </text>
    </comment>
    <comment ref="C15" authorId="0">
      <text>
        <r>
          <rPr>
            <sz val="10"/>
            <rFont val="Arial"/>
            <family val="2"/>
          </rPr>
          <t xml:space="preserve">ДОПУЩЕНИЕ ~35% на добавки из Китая; уточнить у таможенного брокера</t>
        </r>
      </text>
    </comment>
    <comment ref="C16" authorId="0">
      <text>
        <r>
          <rPr>
            <sz val="10"/>
            <rFont val="Arial"/>
            <family val="2"/>
          </rPr>
          <t xml:space="preserve">Оценка</t>
        </r>
      </text>
    </comment>
    <comment ref="C17" authorId="0">
      <text>
        <r>
          <rPr>
            <sz val="10"/>
            <rFont val="Arial"/>
            <family val="2"/>
          </rPr>
          <t xml:space="preserve">~$450 за SKU × 4</t>
        </r>
      </text>
    </comment>
    <comment ref="C18" authorId="0">
      <text>
        <r>
          <rPr>
            <sz val="10"/>
            <rFont val="Arial"/>
            <family val="2"/>
          </rPr>
          <t xml:space="preserve">Оценка: обязанность импортёра добавок по правилам FDA</t>
        </r>
      </text>
    </comment>
    <comment ref="C19" authorId="0">
      <text>
        <r>
          <rPr>
            <sz val="10"/>
            <rFont val="Arial"/>
            <family val="2"/>
          </rPr>
          <t xml:space="preserve">Оценка</t>
        </r>
      </text>
    </comment>
    <comment ref="D11" authorId="0">
      <text>
        <r>
          <rPr>
            <sz val="10"/>
            <rFont val="Arial"/>
            <family val="2"/>
          </rPr>
          <t xml:space="preserve">То же</t>
        </r>
      </text>
    </comment>
    <comment ref="D12" authorId="0">
      <text>
        <r>
          <rPr>
            <sz val="10"/>
            <rFont val="Arial"/>
            <family val="2"/>
          </rPr>
          <t xml:space="preserve">Входит в цену завода</t>
        </r>
      </text>
    </comment>
    <comment ref="D13" authorId="0">
      <text>
        <r>
          <rPr>
            <sz val="10"/>
            <rFont val="Arial"/>
            <family val="2"/>
          </rPr>
          <t xml:space="preserve">Входит</t>
        </r>
      </text>
    </comment>
    <comment ref="D14" authorId="0">
      <text>
        <r>
          <rPr>
            <sz val="10"/>
            <rFont val="Arial"/>
            <family val="2"/>
          </rPr>
          <t xml:space="preserve">Самолёт: ~740 кг по объёму × ~$7/кг</t>
        </r>
      </text>
    </comment>
    <comment ref="D15" authorId="0">
      <text>
        <r>
          <rPr>
            <sz val="10"/>
            <rFont val="Arial"/>
            <family val="2"/>
          </rPr>
          <t xml:space="preserve">То же</t>
        </r>
      </text>
    </comment>
    <comment ref="D16" authorId="0">
      <text>
        <r>
          <rPr>
            <sz val="10"/>
            <rFont val="Arial"/>
            <family val="2"/>
          </rPr>
          <t xml:space="preserve">Оценка</t>
        </r>
      </text>
    </comment>
    <comment ref="D17" authorId="0">
      <text>
        <r>
          <rPr>
            <sz val="10"/>
            <rFont val="Arial"/>
            <family val="2"/>
          </rPr>
          <t xml:space="preserve">То же</t>
        </r>
      </text>
    </comment>
    <comment ref="D18" authorId="0">
      <text>
        <r>
          <rPr>
            <sz val="10"/>
            <rFont val="Arial"/>
            <family val="2"/>
          </rPr>
          <t xml:space="preserve">То же</t>
        </r>
      </text>
    </comment>
    <comment ref="D19" authorId="0">
      <text>
        <r>
          <rPr>
            <sz val="10"/>
            <rFont val="Arial"/>
            <family val="2"/>
          </rPr>
          <t xml:space="preserve">Оценка</t>
        </r>
      </text>
    </comment>
    <comment ref="E11" authorId="0">
      <text>
        <r>
          <rPr>
            <sz val="10"/>
            <rFont val="Arial"/>
            <family val="2"/>
          </rPr>
          <t xml:space="preserve">ДОПУЩЕНИЕ: цена капсул россыпью выведена из $1.85 минус саше, коробка, фасовка</t>
        </r>
      </text>
    </comment>
    <comment ref="E12" authorId="0">
      <text>
        <r>
          <rPr>
            <sz val="10"/>
            <rFont val="Arial"/>
            <family val="2"/>
          </rPr>
          <t xml:space="preserve">Оценка 29.10: автомат $0.08-0.15 за саше</t>
        </r>
      </text>
    </comment>
    <comment ref="E13" authorId="0">
      <text>
        <r>
          <rPr>
            <sz val="10"/>
            <rFont val="Arial"/>
            <family val="2"/>
          </rPr>
          <t xml:space="preserve">box_cost.md: Китай с доставкой при 5 000: $0.40-0.50</t>
        </r>
      </text>
    </comment>
    <comment ref="E14" authorId="0">
      <text>
        <r>
          <rPr>
            <sz val="10"/>
            <rFont val="Arial"/>
            <family val="2"/>
          </rPr>
          <t xml:space="preserve">Самолёт: ~180 кг капсул × ~$7/кг</t>
        </r>
      </text>
    </comment>
    <comment ref="E15" authorId="0">
      <text>
        <r>
          <rPr>
            <sz val="10"/>
            <rFont val="Arial"/>
            <family val="2"/>
          </rPr>
          <t xml:space="preserve">То же</t>
        </r>
      </text>
    </comment>
    <comment ref="E16" authorId="0">
      <text>
        <r>
          <rPr>
            <sz val="10"/>
            <rFont val="Arial"/>
            <family val="2"/>
          </rPr>
          <t xml:space="preserve">Оценка</t>
        </r>
      </text>
    </comment>
    <comment ref="E17" authorId="0">
      <text>
        <r>
          <rPr>
            <sz val="10"/>
            <rFont val="Arial"/>
            <family val="2"/>
          </rPr>
          <t xml:space="preserve">То же</t>
        </r>
      </text>
    </comment>
    <comment ref="E18" authorId="0">
      <text>
        <r>
          <rPr>
            <sz val="10"/>
            <rFont val="Arial"/>
            <family val="2"/>
          </rPr>
          <t xml:space="preserve">То же</t>
        </r>
      </text>
    </comment>
    <comment ref="E19" authorId="0">
      <text>
        <r>
          <rPr>
            <sz val="10"/>
            <rFont val="Arial"/>
            <family val="2"/>
          </rPr>
          <t xml:space="preserve">Оценка</t>
        </r>
      </text>
    </comment>
    <comment ref="F11" authorId="0">
      <text>
        <r>
          <rPr>
            <sz val="10"/>
            <rFont val="Arial"/>
            <family val="2"/>
          </rPr>
          <t xml:space="preserve">КП FAME 2026-07701-00: $6.80 за 60 капсул в банке; без банки оценка ~$6.00</t>
        </r>
      </text>
    </comment>
    <comment ref="F12" authorId="0">
      <text>
        <r>
          <rPr>
            <sz val="10"/>
            <rFont val="Arial"/>
            <family val="2"/>
          </rPr>
          <t xml:space="preserve">Оценка 29.10: автомат $0.08-0.15 за саше</t>
        </r>
      </text>
    </comment>
    <comment ref="F13" authorId="0">
      <text>
        <r>
          <rPr>
            <sz val="10"/>
            <rFont val="Arial"/>
            <family val="2"/>
          </rPr>
          <t xml:space="preserve">То же</t>
        </r>
      </text>
    </comment>
    <comment ref="F14" authorId="0">
      <text>
        <r>
          <rPr>
            <sz val="10"/>
            <rFont val="Arial"/>
            <family val="2"/>
          </rPr>
          <t xml:space="preserve">Грузовик по США</t>
        </r>
      </text>
    </comment>
    <comment ref="F17" authorId="0">
      <text>
        <r>
          <rPr>
            <sz val="10"/>
            <rFont val="Arial"/>
            <family val="2"/>
          </rPr>
          <t xml:space="preserve">То же</t>
        </r>
      </text>
    </comment>
  </commentList>
</comments>
</file>

<file path=xl/sharedStrings.xml><?xml version="1.0" encoding="utf-8"?>
<sst xmlns="http://schemas.openxmlformats.org/spreadsheetml/2006/main" count="102" uniqueCount="83">
  <si>
    <t xml:space="preserve">The Aldera: экономика 4 SKU капсул в саше, 29.10.2026</t>
  </si>
  <si>
    <t xml:space="preserve">Синие цифры можно менять, всё остальное считается само. Жёлтым отмечены самые неуверенные допущения (проверить в КП).</t>
  </si>
  <si>
    <t xml:space="preserve">Партия</t>
  </si>
  <si>
    <t xml:space="preserve">Продуктов (SKU)</t>
  </si>
  <si>
    <t xml:space="preserve">Коробок на продукт</t>
  </si>
  <si>
    <t xml:space="preserve">Коробок всего</t>
  </si>
  <si>
    <t xml:space="preserve">Капсул в коробке</t>
  </si>
  <si>
    <t xml:space="preserve">Саше в коробке</t>
  </si>
  <si>
    <t xml:space="preserve">Себестоимость: сценарии</t>
  </si>
  <si>
    <t xml:space="preserve">Модель 28.10 (пилот, США)</t>
  </si>
  <si>
    <t xml:space="preserve">A. Китай, готовые саше, морем</t>
  </si>
  <si>
    <t xml:space="preserve">B. Китай, готовые саше, самолётом</t>
  </si>
  <si>
    <t xml:space="preserve">C. Капсулы из Китая самолётом + фасовка в США</t>
  </si>
  <si>
    <t xml:space="preserve">D. США: капсулы и фасовка (по КП FAME)</t>
  </si>
  <si>
    <t xml:space="preserve">Продукт: готовые саше или капсулы, $ за коробку</t>
  </si>
  <si>
    <t xml:space="preserve">Фасовка в саше в США, $ за саше</t>
  </si>
  <si>
    <t xml:space="preserve">Коробка, $ за штуку (если не входит в цену)</t>
  </si>
  <si>
    <t xml:space="preserve">Доставка партии до порта или склада, $</t>
  </si>
  <si>
    <t xml:space="preserve">Пошлина, % от стоимости товара</t>
  </si>
  <si>
    <t xml:space="preserve">Брокер и таможенное оформление FDA, $ на партию</t>
  </si>
  <si>
    <t xml:space="preserve">Анализ партий в независимой лаборатории, $ на партию</t>
  </si>
  <si>
    <t xml:space="preserve">Импорт: программа FSVP и консультант, разово, $</t>
  </si>
  <si>
    <t xml:space="preserve">Доставка от порта до склада по США, $ на партию</t>
  </si>
  <si>
    <t xml:space="preserve">Срок до склада (справочно)</t>
  </si>
  <si>
    <t xml:space="preserve">8-12 недель</t>
  </si>
  <si>
    <t xml:space="preserve">2-3 нед. производство + 5-6 морем</t>
  </si>
  <si>
    <t xml:space="preserve">2-3 нед. + ~1 нед. самолёт</t>
  </si>
  <si>
    <t xml:space="preserve">2-3 нед. + 1 нед. + 2-3 нед. фасовка</t>
  </si>
  <si>
    <t xml:space="preserve">8-12 недель (FAME 12)</t>
  </si>
  <si>
    <t xml:space="preserve">Законная надпись на упаковке</t>
  </si>
  <si>
    <t xml:space="preserve">Made in USA with imported ingredients</t>
  </si>
  <si>
    <t xml:space="preserve">Made in China</t>
  </si>
  <si>
    <t xml:space="preserve">Packed in USA with capsules made in China</t>
  </si>
  <si>
    <t xml:space="preserve">Цены и каналы</t>
  </si>
  <si>
    <t xml:space="preserve">Цена 1 коробки, $</t>
  </si>
  <si>
    <t xml:space="preserve">Средняя скидка</t>
  </si>
  <si>
    <t xml:space="preserve">Набор из 2 коробок на сайте, $</t>
  </si>
  <si>
    <t xml:space="preserve">Набор из 2 коробок в TikTok, $</t>
  </si>
  <si>
    <t xml:space="preserve">Оплата на сайте, %</t>
  </si>
  <si>
    <t xml:space="preserve">Оплата на сайте, фикс $</t>
  </si>
  <si>
    <t xml:space="preserve">Комиссия TikTok Shop, %</t>
  </si>
  <si>
    <t xml:space="preserve">Возвраты, % от цены</t>
  </si>
  <si>
    <t xml:space="preserve">Доставка покупателю с сайта, $</t>
  </si>
  <si>
    <t xml:space="preserve">Доставка в TikTok (этикетка TikTok), $</t>
  </si>
  <si>
    <t xml:space="preserve">Криейтору, 1 коробка</t>
  </si>
  <si>
    <t xml:space="preserve">Криейтору, набор</t>
  </si>
  <si>
    <t xml:space="preserve">Продажи первой партии (доля коробок)</t>
  </si>
  <si>
    <t xml:space="preserve">TikTok, 1 коробка</t>
  </si>
  <si>
    <t xml:space="preserve">TikTok, набор</t>
  </si>
  <si>
    <t xml:space="preserve">Сайт, 1 коробка</t>
  </si>
  <si>
    <t xml:space="preserve">Сайт, набор</t>
  </si>
  <si>
    <t xml:space="preserve">Сумма долей (должна быть 100%)</t>
  </si>
  <si>
    <t xml:space="preserve">Образцы криейторам, коробок</t>
  </si>
  <si>
    <t xml:space="preserve">Доставка образца, $</t>
  </si>
  <si>
    <t xml:space="preserve">Себестоимость одной коробки (30 саше, 60 капсул) на складе во Флориде</t>
  </si>
  <si>
    <t xml:space="preserve">$ за коробку</t>
  </si>
  <si>
    <t xml:space="preserve">Продукт</t>
  </si>
  <si>
    <t xml:space="preserve">Фасовка в саше</t>
  </si>
  <si>
    <t xml:space="preserve">Коробка</t>
  </si>
  <si>
    <t xml:space="preserve">Доставка до склада</t>
  </si>
  <si>
    <t xml:space="preserve">Пошлина</t>
  </si>
  <si>
    <t xml:space="preserve">Брокер и таможня</t>
  </si>
  <si>
    <t xml:space="preserve">Анализ партий</t>
  </si>
  <si>
    <t xml:space="preserve">FSVP, разово</t>
  </si>
  <si>
    <t xml:space="preserve">Итого за коробку</t>
  </si>
  <si>
    <t xml:space="preserve">Дешевле модели 28.10 на, $</t>
  </si>
  <si>
    <t xml:space="preserve">Деньги на всю партию (4 SKU), $</t>
  </si>
  <si>
    <t xml:space="preserve">Надпись на упаковке</t>
  </si>
  <si>
    <t xml:space="preserve">Прибыль с заказа после всех расходов и первая партия</t>
  </si>
  <si>
    <t xml:space="preserve">Прибыль с заказа, $</t>
  </si>
  <si>
    <t xml:space="preserve">Сайт, набор из 2</t>
  </si>
  <si>
    <t xml:space="preserve">TikTok, набор из 2</t>
  </si>
  <si>
    <t xml:space="preserve">Маржа TikTok, 1 коробка, % от цены</t>
  </si>
  <si>
    <t xml:space="preserve">Первая партия: 4 SKU</t>
  </si>
  <si>
    <t xml:space="preserve">Прибыль на коробку в среднем по каналам, $</t>
  </si>
  <si>
    <t xml:space="preserve">Коробок на продажу (без образцов)</t>
  </si>
  <si>
    <t xml:space="preserve">Прибыль с продаж партии, $</t>
  </si>
  <si>
    <t xml:space="preserve">Образцы криейторам (товар и доставка), $</t>
  </si>
  <si>
    <t xml:space="preserve">Чистая прибыль партии, $</t>
  </si>
  <si>
    <t xml:space="preserve">Вложено в партию, $</t>
  </si>
  <si>
    <t xml:space="preserve">Отдача на вложенные деньги</t>
  </si>
  <si>
    <t xml:space="preserve">Коробок продать, чтобы вернуть вложенное</t>
  </si>
  <si>
    <t xml:space="preserve">Расчёт без налогов, рекламы Spark Ads, дизайна, склада и подписок. Прибыль с заказа совпадает с моделью 28.10 в колонке B (проверка формул).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</si>
</sst>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.00;&quot;($&quot;#,##0.00\);\-"/>
    <numFmt numFmtId="167" formatCode="\$#,##0.000;&quot;($&quot;#,##0.000\);\-"/>
    <numFmt numFmtId="168" formatCode="\$#,##0;&quot;($&quot;#,##0\);\-"/>
    <numFmt numFmtId="169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EEE3"/>
        <bgColor rgb="FFFFFFFF"/>
      </patternFill>
    </fill>
    <fill>
      <patternFill patternType="solid">
        <fgColor rgb="FF4A1424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E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1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</row>
    <row r="4" customFormat="false" ht="15" hidden="false" customHeight="false" outlineLevel="0" collapsed="false">
      <c r="A4" s="5" t="s">
        <v>3</v>
      </c>
      <c r="B4" s="6" t="n">
        <v>4</v>
      </c>
    </row>
    <row r="5" customFormat="false" ht="15" hidden="false" customHeight="false" outlineLevel="0" collapsed="false">
      <c r="A5" s="5" t="s">
        <v>4</v>
      </c>
      <c r="B5" s="6" t="n">
        <v>1000</v>
      </c>
    </row>
    <row r="6" customFormat="false" ht="15" hidden="false" customHeight="false" outlineLevel="0" collapsed="false">
      <c r="A6" s="5" t="s">
        <v>5</v>
      </c>
      <c r="B6" s="7" t="n">
        <f aca="false">B4*B5</f>
        <v>4000</v>
      </c>
    </row>
    <row r="7" customFormat="false" ht="15" hidden="false" customHeight="false" outlineLevel="0" collapsed="false">
      <c r="A7" s="5" t="s">
        <v>6</v>
      </c>
      <c r="B7" s="6" t="n">
        <v>60</v>
      </c>
    </row>
    <row r="8" customFormat="false" ht="15" hidden="false" customHeight="false" outlineLevel="0" collapsed="false">
      <c r="A8" s="5" t="s">
        <v>7</v>
      </c>
      <c r="B8" s="6" t="n">
        <v>30</v>
      </c>
    </row>
    <row r="10" customFormat="false" ht="48" hidden="false" customHeight="true" outlineLevel="0" collapsed="false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</row>
    <row r="11" customFormat="false" ht="15" hidden="false" customHeight="false" outlineLevel="0" collapsed="false">
      <c r="A11" s="9" t="s">
        <v>14</v>
      </c>
      <c r="B11" s="10" t="n">
        <v>2.5</v>
      </c>
      <c r="C11" s="10" t="n">
        <v>1.85</v>
      </c>
      <c r="D11" s="10" t="n">
        <v>1.85</v>
      </c>
      <c r="E11" s="11" t="n">
        <v>1</v>
      </c>
      <c r="F11" s="11" t="n">
        <v>6</v>
      </c>
    </row>
    <row r="12" customFormat="false" ht="15" hidden="false" customHeight="false" outlineLevel="0" collapsed="false">
      <c r="A12" s="9" t="s">
        <v>15</v>
      </c>
      <c r="B12" s="12" t="n">
        <v>0.25</v>
      </c>
      <c r="C12" s="12" t="n">
        <v>0</v>
      </c>
      <c r="D12" s="12" t="n">
        <v>0</v>
      </c>
      <c r="E12" s="13" t="n">
        <v>0.12</v>
      </c>
      <c r="F12" s="13" t="n">
        <v>0.12</v>
      </c>
    </row>
    <row r="13" customFormat="false" ht="15" hidden="false" customHeight="false" outlineLevel="0" collapsed="false">
      <c r="A13" s="9" t="s">
        <v>16</v>
      </c>
      <c r="B13" s="10" t="n">
        <v>0.9</v>
      </c>
      <c r="C13" s="10" t="n">
        <v>0</v>
      </c>
      <c r="D13" s="10" t="n">
        <v>0</v>
      </c>
      <c r="E13" s="10" t="n">
        <v>0.45</v>
      </c>
      <c r="F13" s="10" t="n">
        <v>0.45</v>
      </c>
    </row>
    <row r="14" customFormat="false" ht="15" hidden="false" customHeight="false" outlineLevel="0" collapsed="false">
      <c r="A14" s="9" t="s">
        <v>17</v>
      </c>
      <c r="B14" s="14" t="n">
        <v>2000</v>
      </c>
      <c r="C14" s="15" t="n">
        <v>1200</v>
      </c>
      <c r="D14" s="15" t="n">
        <v>5180</v>
      </c>
      <c r="E14" s="15" t="n">
        <v>1260</v>
      </c>
      <c r="F14" s="14" t="n">
        <v>300</v>
      </c>
    </row>
    <row r="15" customFormat="false" ht="15" hidden="false" customHeight="false" outlineLevel="0" collapsed="false">
      <c r="A15" s="9" t="s">
        <v>18</v>
      </c>
      <c r="B15" s="16" t="n">
        <v>0</v>
      </c>
      <c r="C15" s="17" t="n">
        <v>0.35</v>
      </c>
      <c r="D15" s="17" t="n">
        <v>0.35</v>
      </c>
      <c r="E15" s="17" t="n">
        <v>0.35</v>
      </c>
      <c r="F15" s="16" t="n">
        <v>0</v>
      </c>
    </row>
    <row r="16" customFormat="false" ht="26.85" hidden="false" customHeight="false" outlineLevel="0" collapsed="false">
      <c r="A16" s="9" t="s">
        <v>19</v>
      </c>
      <c r="B16" s="14" t="n">
        <v>0</v>
      </c>
      <c r="C16" s="14" t="n">
        <v>500</v>
      </c>
      <c r="D16" s="14" t="n">
        <v>500</v>
      </c>
      <c r="E16" s="14" t="n">
        <v>500</v>
      </c>
      <c r="F16" s="14" t="n">
        <v>0</v>
      </c>
    </row>
    <row r="17" customFormat="false" ht="26.85" hidden="false" customHeight="false" outlineLevel="0" collapsed="false">
      <c r="A17" s="9" t="s">
        <v>20</v>
      </c>
      <c r="B17" s="14" t="n">
        <v>0</v>
      </c>
      <c r="C17" s="14" t="n">
        <v>1800</v>
      </c>
      <c r="D17" s="14" t="n">
        <v>1800</v>
      </c>
      <c r="E17" s="14" t="n">
        <v>1800</v>
      </c>
      <c r="F17" s="14" t="n">
        <v>1800</v>
      </c>
    </row>
    <row r="18" customFormat="false" ht="15" hidden="false" customHeight="false" outlineLevel="0" collapsed="false">
      <c r="A18" s="9" t="s">
        <v>21</v>
      </c>
      <c r="B18" s="14" t="n">
        <v>0</v>
      </c>
      <c r="C18" s="15" t="n">
        <v>2000</v>
      </c>
      <c r="D18" s="15" t="n">
        <v>2000</v>
      </c>
      <c r="E18" s="15" t="n">
        <v>2000</v>
      </c>
      <c r="F18" s="14" t="n">
        <v>0</v>
      </c>
    </row>
    <row r="19" customFormat="false" ht="15" hidden="false" customHeight="false" outlineLevel="0" collapsed="false">
      <c r="A19" s="9" t="s">
        <v>22</v>
      </c>
      <c r="B19" s="14" t="n">
        <v>0</v>
      </c>
      <c r="C19" s="14" t="n">
        <v>300</v>
      </c>
      <c r="D19" s="14" t="n">
        <v>300</v>
      </c>
      <c r="E19" s="14" t="n">
        <v>300</v>
      </c>
      <c r="F19" s="14" t="n">
        <v>0</v>
      </c>
    </row>
    <row r="20" customFormat="false" ht="26.85" hidden="false" customHeight="false" outlineLevel="0" collapsed="false">
      <c r="A20" s="9" t="s">
        <v>23</v>
      </c>
      <c r="B20" s="9" t="s">
        <v>24</v>
      </c>
      <c r="C20" s="9" t="s">
        <v>25</v>
      </c>
      <c r="D20" s="9" t="s">
        <v>26</v>
      </c>
      <c r="E20" s="9" t="s">
        <v>27</v>
      </c>
      <c r="F20" s="9" t="s">
        <v>28</v>
      </c>
    </row>
    <row r="21" customFormat="false" ht="26.85" hidden="false" customHeight="false" outlineLevel="0" collapsed="false">
      <c r="A21" s="9" t="s">
        <v>29</v>
      </c>
      <c r="B21" s="9" t="s">
        <v>30</v>
      </c>
      <c r="C21" s="9" t="s">
        <v>31</v>
      </c>
      <c r="D21" s="9" t="s">
        <v>31</v>
      </c>
      <c r="E21" s="9" t="s">
        <v>32</v>
      </c>
      <c r="F21" s="9" t="s">
        <v>30</v>
      </c>
    </row>
    <row r="23" customFormat="false" ht="15" hidden="false" customHeight="false" outlineLevel="0" collapsed="false">
      <c r="A23" s="3" t="s">
        <v>33</v>
      </c>
      <c r="B23" s="4"/>
    </row>
    <row r="24" customFormat="false" ht="15" hidden="false" customHeight="false" outlineLevel="0" collapsed="false">
      <c r="A24" s="5" t="s">
        <v>34</v>
      </c>
      <c r="B24" s="18" t="n">
        <v>34</v>
      </c>
    </row>
    <row r="25" customFormat="false" ht="15" hidden="false" customHeight="false" outlineLevel="0" collapsed="false">
      <c r="A25" s="5" t="s">
        <v>35</v>
      </c>
      <c r="B25" s="19" t="n">
        <v>0.1</v>
      </c>
    </row>
    <row r="26" customFormat="false" ht="15" hidden="false" customHeight="false" outlineLevel="0" collapsed="false">
      <c r="A26" s="5" t="s">
        <v>36</v>
      </c>
      <c r="B26" s="18" t="n">
        <v>64</v>
      </c>
    </row>
    <row r="27" customFormat="false" ht="15" hidden="false" customHeight="false" outlineLevel="0" collapsed="false">
      <c r="A27" s="5" t="s">
        <v>37</v>
      </c>
      <c r="B27" s="18" t="n">
        <v>59</v>
      </c>
    </row>
    <row r="28" customFormat="false" ht="15" hidden="false" customHeight="false" outlineLevel="0" collapsed="false">
      <c r="A28" s="5" t="s">
        <v>38</v>
      </c>
      <c r="B28" s="19" t="n">
        <v>0.03</v>
      </c>
    </row>
    <row r="29" customFormat="false" ht="15" hidden="false" customHeight="false" outlineLevel="0" collapsed="false">
      <c r="A29" s="5" t="s">
        <v>39</v>
      </c>
      <c r="B29" s="18" t="n">
        <v>0.3</v>
      </c>
    </row>
    <row r="30" customFormat="false" ht="15" hidden="false" customHeight="false" outlineLevel="0" collapsed="false">
      <c r="A30" s="5" t="s">
        <v>40</v>
      </c>
      <c r="B30" s="19" t="n">
        <v>0.06</v>
      </c>
    </row>
    <row r="31" customFormat="false" ht="15" hidden="false" customHeight="false" outlineLevel="0" collapsed="false">
      <c r="A31" s="5" t="s">
        <v>41</v>
      </c>
      <c r="B31" s="19" t="n">
        <v>0.03</v>
      </c>
    </row>
    <row r="32" customFormat="false" ht="15" hidden="false" customHeight="false" outlineLevel="0" collapsed="false">
      <c r="A32" s="5" t="s">
        <v>42</v>
      </c>
      <c r="B32" s="18" t="n">
        <v>8.3</v>
      </c>
    </row>
    <row r="33" customFormat="false" ht="15" hidden="false" customHeight="false" outlineLevel="0" collapsed="false">
      <c r="A33" s="5" t="s">
        <v>43</v>
      </c>
      <c r="B33" s="18" t="n">
        <v>7.2</v>
      </c>
    </row>
    <row r="34" customFormat="false" ht="15" hidden="false" customHeight="false" outlineLevel="0" collapsed="false">
      <c r="A34" s="5" t="s">
        <v>44</v>
      </c>
      <c r="B34" s="19" t="n">
        <v>0.2</v>
      </c>
    </row>
    <row r="35" customFormat="false" ht="15" hidden="false" customHeight="false" outlineLevel="0" collapsed="false">
      <c r="A35" s="5" t="s">
        <v>45</v>
      </c>
      <c r="B35" s="19" t="n">
        <v>0.25</v>
      </c>
    </row>
    <row r="37" customFormat="false" ht="15" hidden="false" customHeight="false" outlineLevel="0" collapsed="false">
      <c r="A37" s="3" t="s">
        <v>46</v>
      </c>
      <c r="B37" s="4"/>
    </row>
    <row r="38" customFormat="false" ht="15" hidden="false" customHeight="false" outlineLevel="0" collapsed="false">
      <c r="A38" s="5" t="s">
        <v>47</v>
      </c>
      <c r="B38" s="20" t="n">
        <v>0.4</v>
      </c>
    </row>
    <row r="39" customFormat="false" ht="15" hidden="false" customHeight="false" outlineLevel="0" collapsed="false">
      <c r="A39" s="5" t="s">
        <v>48</v>
      </c>
      <c r="B39" s="20" t="n">
        <v>0.3</v>
      </c>
    </row>
    <row r="40" customFormat="false" ht="15" hidden="false" customHeight="false" outlineLevel="0" collapsed="false">
      <c r="A40" s="5" t="s">
        <v>49</v>
      </c>
      <c r="B40" s="20" t="n">
        <v>0.15</v>
      </c>
    </row>
    <row r="41" customFormat="false" ht="15" hidden="false" customHeight="false" outlineLevel="0" collapsed="false">
      <c r="A41" s="5" t="s">
        <v>50</v>
      </c>
      <c r="B41" s="20" t="n">
        <v>0.15</v>
      </c>
    </row>
    <row r="42" customFormat="false" ht="15" hidden="false" customHeight="false" outlineLevel="0" collapsed="false">
      <c r="A42" s="5" t="s">
        <v>51</v>
      </c>
      <c r="B42" s="21" t="n">
        <f aca="false">SUM(B38:B41)</f>
        <v>1</v>
      </c>
    </row>
    <row r="43" customFormat="false" ht="15" hidden="false" customHeight="false" outlineLevel="0" collapsed="false">
      <c r="A43" s="5" t="s">
        <v>52</v>
      </c>
      <c r="B43" s="6" t="n">
        <v>100</v>
      </c>
    </row>
    <row r="44" customFormat="false" ht="15" hidden="false" customHeight="false" outlineLevel="0" collapsed="false">
      <c r="A44" s="5" t="s">
        <v>53</v>
      </c>
      <c r="B44" s="18" t="n">
        <v>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6"/>
  </cols>
  <sheetData>
    <row r="1" customFormat="false" ht="16.15" hidden="false" customHeight="false" outlineLevel="0" collapsed="false">
      <c r="A1" s="22" t="s">
        <v>54</v>
      </c>
    </row>
    <row r="3" customFormat="false" ht="48" hidden="false" customHeight="true" outlineLevel="0" collapsed="false">
      <c r="A3" s="23" t="s">
        <v>55</v>
      </c>
      <c r="B3" s="23" t="s">
        <v>9</v>
      </c>
      <c r="C3" s="23" t="s">
        <v>10</v>
      </c>
      <c r="D3" s="23" t="s">
        <v>11</v>
      </c>
      <c r="E3" s="23" t="s">
        <v>12</v>
      </c>
      <c r="F3" s="23" t="s">
        <v>13</v>
      </c>
    </row>
    <row r="4" customFormat="false" ht="15" hidden="false" customHeight="false" outlineLevel="0" collapsed="false">
      <c r="A4" s="5" t="s">
        <v>56</v>
      </c>
      <c r="B4" s="24" t="n">
        <f aca="false">Допущения!B11</f>
        <v>2.5</v>
      </c>
      <c r="C4" s="24" t="n">
        <f aca="false">Допущения!C11</f>
        <v>1.85</v>
      </c>
      <c r="D4" s="24" t="n">
        <f aca="false">Допущения!D11</f>
        <v>1.85</v>
      </c>
      <c r="E4" s="24" t="n">
        <f aca="false">Допущения!E11</f>
        <v>1</v>
      </c>
      <c r="F4" s="24" t="n">
        <f aca="false">Допущения!F11</f>
        <v>6</v>
      </c>
    </row>
    <row r="5" customFormat="false" ht="15" hidden="false" customHeight="false" outlineLevel="0" collapsed="false">
      <c r="A5" s="5" t="s">
        <v>57</v>
      </c>
      <c r="B5" s="24" t="n">
        <f aca="false">Допущения!B12*Допущения!$B$8</f>
        <v>7.5</v>
      </c>
      <c r="C5" s="24" t="n">
        <f aca="false">Допущения!C12*Допущения!$B$8</f>
        <v>0</v>
      </c>
      <c r="D5" s="24" t="n">
        <f aca="false">Допущения!D12*Допущения!$B$8</f>
        <v>0</v>
      </c>
      <c r="E5" s="24" t="n">
        <f aca="false">Допущения!E12*Допущения!$B$8</f>
        <v>3.6</v>
      </c>
      <c r="F5" s="24" t="n">
        <f aca="false">Допущения!F12*Допущения!$B$8</f>
        <v>3.6</v>
      </c>
    </row>
    <row r="6" customFormat="false" ht="15" hidden="false" customHeight="false" outlineLevel="0" collapsed="false">
      <c r="A6" s="5" t="s">
        <v>58</v>
      </c>
      <c r="B6" s="24" t="n">
        <f aca="false">Допущения!B13</f>
        <v>0.9</v>
      </c>
      <c r="C6" s="24" t="n">
        <f aca="false">Допущения!C13</f>
        <v>0</v>
      </c>
      <c r="D6" s="24" t="n">
        <f aca="false">Допущения!D13</f>
        <v>0</v>
      </c>
      <c r="E6" s="24" t="n">
        <f aca="false">Допущения!E13</f>
        <v>0.45</v>
      </c>
      <c r="F6" s="24" t="n">
        <f aca="false">Допущения!F13</f>
        <v>0.45</v>
      </c>
    </row>
    <row r="7" customFormat="false" ht="15" hidden="false" customHeight="false" outlineLevel="0" collapsed="false">
      <c r="A7" s="5" t="s">
        <v>59</v>
      </c>
      <c r="B7" s="24" t="n">
        <f aca="false">(Допущения!B14+Допущения!B19)/Допущения!$B$6</f>
        <v>0.5</v>
      </c>
      <c r="C7" s="24" t="n">
        <f aca="false">(Допущения!C14+Допущения!C19)/Допущения!$B$6</f>
        <v>0.375</v>
      </c>
      <c r="D7" s="24" t="n">
        <f aca="false">(Допущения!D14+Допущения!D19)/Допущения!$B$6</f>
        <v>1.37</v>
      </c>
      <c r="E7" s="24" t="n">
        <f aca="false">(Допущения!E14+Допущения!E19)/Допущения!$B$6</f>
        <v>0.39</v>
      </c>
      <c r="F7" s="24" t="n">
        <f aca="false">(Допущения!F14+Допущения!F19)/Допущения!$B$6</f>
        <v>0.075</v>
      </c>
    </row>
    <row r="8" customFormat="false" ht="15" hidden="false" customHeight="false" outlineLevel="0" collapsed="false">
      <c r="A8" s="5" t="s">
        <v>60</v>
      </c>
      <c r="B8" s="24" t="n">
        <f aca="false">Допущения!B11*Допущения!B15</f>
        <v>0</v>
      </c>
      <c r="C8" s="24" t="n">
        <f aca="false">Допущения!C11*Допущения!C15</f>
        <v>0.6475</v>
      </c>
      <c r="D8" s="24" t="n">
        <f aca="false">Допущения!D11*Допущения!D15</f>
        <v>0.6475</v>
      </c>
      <c r="E8" s="24" t="n">
        <f aca="false">Допущения!E11*Допущения!E15</f>
        <v>0.35</v>
      </c>
      <c r="F8" s="24" t="n">
        <f aca="false">Допущения!F11*Допущения!F15</f>
        <v>0</v>
      </c>
    </row>
    <row r="9" customFormat="false" ht="15" hidden="false" customHeight="false" outlineLevel="0" collapsed="false">
      <c r="A9" s="5" t="s">
        <v>61</v>
      </c>
      <c r="B9" s="24" t="n">
        <f aca="false">Допущения!B16/Допущения!$B$6</f>
        <v>0</v>
      </c>
      <c r="C9" s="24" t="n">
        <f aca="false">Допущения!C16/Допущения!$B$6</f>
        <v>0.125</v>
      </c>
      <c r="D9" s="24" t="n">
        <f aca="false">Допущения!D16/Допущения!$B$6</f>
        <v>0.125</v>
      </c>
      <c r="E9" s="24" t="n">
        <f aca="false">Допущения!E16/Допущения!$B$6</f>
        <v>0.125</v>
      </c>
      <c r="F9" s="24" t="n">
        <f aca="false">Допущения!F16/Допущения!$B$6</f>
        <v>0</v>
      </c>
    </row>
    <row r="10" customFormat="false" ht="15" hidden="false" customHeight="false" outlineLevel="0" collapsed="false">
      <c r="A10" s="5" t="s">
        <v>62</v>
      </c>
      <c r="B10" s="24" t="n">
        <f aca="false">Допущения!B17/Допущения!$B$6</f>
        <v>0</v>
      </c>
      <c r="C10" s="24" t="n">
        <f aca="false">Допущения!C17/Допущения!$B$6</f>
        <v>0.45</v>
      </c>
      <c r="D10" s="24" t="n">
        <f aca="false">Допущения!D17/Допущения!$B$6</f>
        <v>0.45</v>
      </c>
      <c r="E10" s="24" t="n">
        <f aca="false">Допущения!E17/Допущения!$B$6</f>
        <v>0.45</v>
      </c>
      <c r="F10" s="24" t="n">
        <f aca="false">Допущения!F17/Допущения!$B$6</f>
        <v>0.45</v>
      </c>
    </row>
    <row r="11" customFormat="false" ht="15" hidden="false" customHeight="false" outlineLevel="0" collapsed="false">
      <c r="A11" s="5" t="s">
        <v>63</v>
      </c>
      <c r="B11" s="24" t="n">
        <f aca="false">Допущения!B18/Допущения!$B$6</f>
        <v>0</v>
      </c>
      <c r="C11" s="24" t="n">
        <f aca="false">Допущения!C18/Допущения!$B$6</f>
        <v>0.5</v>
      </c>
      <c r="D11" s="24" t="n">
        <f aca="false">Допущения!D18/Допущения!$B$6</f>
        <v>0.5</v>
      </c>
      <c r="E11" s="24" t="n">
        <f aca="false">Допущения!E18/Допущения!$B$6</f>
        <v>0.5</v>
      </c>
      <c r="F11" s="24" t="n">
        <f aca="false">Допущения!F18/Допущения!$B$6</f>
        <v>0</v>
      </c>
    </row>
    <row r="12" customFormat="false" ht="15" hidden="false" customHeight="false" outlineLevel="0" collapsed="false">
      <c r="A12" s="25" t="s">
        <v>64</v>
      </c>
      <c r="B12" s="26" t="n">
        <f aca="false">SUM(B4:B11)</f>
        <v>11.4</v>
      </c>
      <c r="C12" s="26" t="n">
        <f aca="false">SUM(C4:C11)</f>
        <v>3.9475</v>
      </c>
      <c r="D12" s="26" t="n">
        <f aca="false">SUM(D4:D11)</f>
        <v>4.9425</v>
      </c>
      <c r="E12" s="26" t="n">
        <f aca="false">SUM(E4:E11)</f>
        <v>6.865</v>
      </c>
      <c r="F12" s="26" t="n">
        <f aca="false">SUM(F4:F11)</f>
        <v>10.575</v>
      </c>
    </row>
    <row r="13" customFormat="false" ht="15" hidden="false" customHeight="false" outlineLevel="0" collapsed="false">
      <c r="A13" s="5" t="s">
        <v>65</v>
      </c>
      <c r="B13" s="27" t="n">
        <f aca="false">$B$12-B12</f>
        <v>0</v>
      </c>
      <c r="C13" s="27" t="n">
        <f aca="false">$B$12-C12</f>
        <v>7.4525</v>
      </c>
      <c r="D13" s="27" t="n">
        <f aca="false">$B$12-D12</f>
        <v>6.4575</v>
      </c>
      <c r="E13" s="27" t="n">
        <f aca="false">$B$12-E12</f>
        <v>4.535</v>
      </c>
      <c r="F13" s="27" t="n">
        <f aca="false">$B$12-F12</f>
        <v>0.825000000000001</v>
      </c>
    </row>
    <row r="15" customFormat="false" ht="15" hidden="false" customHeight="false" outlineLevel="0" collapsed="false">
      <c r="A15" s="25" t="s">
        <v>66</v>
      </c>
      <c r="B15" s="28" t="n">
        <f aca="false">B12*Допущения!$B$6</f>
        <v>45600</v>
      </c>
      <c r="C15" s="28" t="n">
        <f aca="false">C12*Допущения!$B$6</f>
        <v>15790</v>
      </c>
      <c r="D15" s="28" t="n">
        <f aca="false">D12*Допущения!$B$6</f>
        <v>19770</v>
      </c>
      <c r="E15" s="28" t="n">
        <f aca="false">E12*Допущения!$B$6</f>
        <v>27460</v>
      </c>
      <c r="F15" s="28" t="n">
        <f aca="false">F12*Допущения!$B$6</f>
        <v>42300</v>
      </c>
    </row>
    <row r="16" customFormat="false" ht="26.85" hidden="false" customHeight="false" outlineLevel="0" collapsed="false">
      <c r="A16" s="9" t="s">
        <v>67</v>
      </c>
      <c r="B16" s="29" t="str">
        <f aca="false">Допущения!B21</f>
        <v>Made in USA with imported ingredients</v>
      </c>
      <c r="C16" s="29" t="str">
        <f aca="false">Допущения!C21</f>
        <v>Made in China</v>
      </c>
      <c r="D16" s="29" t="str">
        <f aca="false">Допущения!D21</f>
        <v>Made in China</v>
      </c>
      <c r="E16" s="29" t="str">
        <f aca="false">Допущения!E21</f>
        <v>Packed in USA with capsules made in China</v>
      </c>
      <c r="F16" s="29" t="str">
        <f aca="false">Допущения!F21</f>
        <v>Made in USA with imported ingredients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26"/>
  </cols>
  <sheetData>
    <row r="1" customFormat="false" ht="16.15" hidden="false" customHeight="false" outlineLevel="0" collapsed="false">
      <c r="A1" s="22" t="s">
        <v>68</v>
      </c>
    </row>
    <row r="3" customFormat="false" ht="48" hidden="false" customHeight="true" outlineLevel="0" collapsed="false">
      <c r="A3" s="23" t="s">
        <v>69</v>
      </c>
      <c r="B3" s="23" t="s">
        <v>9</v>
      </c>
      <c r="C3" s="23" t="s">
        <v>10</v>
      </c>
      <c r="D3" s="23" t="s">
        <v>11</v>
      </c>
      <c r="E3" s="23" t="s">
        <v>12</v>
      </c>
      <c r="F3" s="23" t="s">
        <v>13</v>
      </c>
    </row>
    <row r="4" customFormat="false" ht="15" hidden="false" customHeight="false" outlineLevel="0" collapsed="false">
      <c r="A4" s="5" t="s">
        <v>49</v>
      </c>
      <c r="B4" s="27" t="n">
        <f aca="false">Допущения!$B$24*(1-Допущения!$B$25)*(1-Допущения!$B$28-Допущения!$B$31)-Допущения!$B$29-Допущения!$B$32-Себестоимость!B12</f>
        <v>8.764</v>
      </c>
      <c r="C4" s="27" t="n">
        <f aca="false">Допущения!$B$24*(1-Допущения!$B$25)*(1-Допущения!$B$28-Допущения!$B$31)-Допущения!$B$29-Допущения!$B$32-Себестоимость!C12</f>
        <v>16.2165</v>
      </c>
      <c r="D4" s="27" t="n">
        <f aca="false">Допущения!$B$24*(1-Допущения!$B$25)*(1-Допущения!$B$28-Допущения!$B$31)-Допущения!$B$29-Допущения!$B$32-Себестоимость!D12</f>
        <v>15.2215</v>
      </c>
      <c r="E4" s="27" t="n">
        <f aca="false">Допущения!$B$24*(1-Допущения!$B$25)*(1-Допущения!$B$28-Допущения!$B$31)-Допущения!$B$29-Допущения!$B$32-Себестоимость!E12</f>
        <v>13.299</v>
      </c>
      <c r="F4" s="27" t="n">
        <f aca="false">Допущения!$B$24*(1-Допущения!$B$25)*(1-Допущения!$B$28-Допущения!$B$31)-Допущения!$B$29-Допущения!$B$32-Себестоимость!F12</f>
        <v>9.589</v>
      </c>
    </row>
    <row r="5" customFormat="false" ht="15" hidden="false" customHeight="false" outlineLevel="0" collapsed="false">
      <c r="A5" s="5" t="s">
        <v>47</v>
      </c>
      <c r="B5" s="27" t="n">
        <f aca="false">Допущения!$B$24*(1-Допущения!$B$25)*(1-Допущения!$B$30-Допущения!$B$34-Допущения!$B$31)-Допущения!$B$33-Себестоимость!B12</f>
        <v>3.126</v>
      </c>
      <c r="C5" s="27" t="n">
        <f aca="false">Допущения!$B$24*(1-Допущения!$B$25)*(1-Допущения!$B$30-Допущения!$B$34-Допущения!$B$31)-Допущения!$B$33-Себестоимость!C12</f>
        <v>10.5785</v>
      </c>
      <c r="D5" s="27" t="n">
        <f aca="false">Допущения!$B$24*(1-Допущения!$B$25)*(1-Допущения!$B$30-Допущения!$B$34-Допущения!$B$31)-Допущения!$B$33-Себестоимость!D12</f>
        <v>9.5835</v>
      </c>
      <c r="E5" s="27" t="n">
        <f aca="false">Допущения!$B$24*(1-Допущения!$B$25)*(1-Допущения!$B$30-Допущения!$B$34-Допущения!$B$31)-Допущения!$B$33-Себестоимость!E12</f>
        <v>7.661</v>
      </c>
      <c r="F5" s="27" t="n">
        <f aca="false">Допущения!$B$24*(1-Допущения!$B$25)*(1-Допущения!$B$30-Допущения!$B$34-Допущения!$B$31)-Допущения!$B$33-Себестоимость!F12</f>
        <v>3.951</v>
      </c>
    </row>
    <row r="6" customFormat="false" ht="15" hidden="false" customHeight="false" outlineLevel="0" collapsed="false">
      <c r="A6" s="5" t="s">
        <v>70</v>
      </c>
      <c r="B6" s="27" t="n">
        <f aca="false">Допущения!$B$26*(1-Допущения!$B$28-Допущения!$B$31)-Допущения!$B$29-Допущения!$B$32-2*Себестоимость!B12</f>
        <v>28.76</v>
      </c>
      <c r="C6" s="27" t="n">
        <f aca="false">Допущения!$B$26*(1-Допущения!$B$28-Допущения!$B$31)-Допущения!$B$29-Допущения!$B$32-2*Себестоимость!C12</f>
        <v>43.665</v>
      </c>
      <c r="D6" s="27" t="n">
        <f aca="false">Допущения!$B$26*(1-Допущения!$B$28-Допущения!$B$31)-Допущения!$B$29-Допущения!$B$32-2*Себестоимость!D12</f>
        <v>41.675</v>
      </c>
      <c r="E6" s="27" t="n">
        <f aca="false">Допущения!$B$26*(1-Допущения!$B$28-Допущения!$B$31)-Допущения!$B$29-Допущения!$B$32-2*Себестоимость!E12</f>
        <v>37.83</v>
      </c>
      <c r="F6" s="27" t="n">
        <f aca="false">Допущения!$B$26*(1-Допущения!$B$28-Допущения!$B$31)-Допущения!$B$29-Допущения!$B$32-2*Себестоимость!F12</f>
        <v>30.41</v>
      </c>
    </row>
    <row r="7" customFormat="false" ht="15" hidden="false" customHeight="false" outlineLevel="0" collapsed="false">
      <c r="A7" s="5" t="s">
        <v>71</v>
      </c>
      <c r="B7" s="27" t="n">
        <f aca="false">Допущения!$B$27*(1-Допущения!$B$30-Допущения!$B$35-Допущения!$B$31)-Допущения!$B$33-2*Себестоимость!B12</f>
        <v>8.94</v>
      </c>
      <c r="C7" s="27" t="n">
        <f aca="false">Допущения!$B$27*(1-Допущения!$B$30-Допущения!$B$35-Допущения!$B$31)-Допущения!$B$33-2*Себестоимость!C12</f>
        <v>23.845</v>
      </c>
      <c r="D7" s="27" t="n">
        <f aca="false">Допущения!$B$27*(1-Допущения!$B$30-Допущения!$B$35-Допущения!$B$31)-Допущения!$B$33-2*Себестоимость!D12</f>
        <v>21.855</v>
      </c>
      <c r="E7" s="27" t="n">
        <f aca="false">Допущения!$B$27*(1-Допущения!$B$30-Допущения!$B$35-Допущения!$B$31)-Допущения!$B$33-2*Себестоимость!E12</f>
        <v>18.01</v>
      </c>
      <c r="F7" s="27" t="n">
        <f aca="false">Допущения!$B$27*(1-Допущения!$B$30-Допущения!$B$35-Допущения!$B$31)-Допущения!$B$33-2*Себестоимость!F12</f>
        <v>10.59</v>
      </c>
    </row>
    <row r="8" customFormat="false" ht="15" hidden="false" customHeight="false" outlineLevel="0" collapsed="false">
      <c r="A8" s="5" t="s">
        <v>72</v>
      </c>
      <c r="B8" s="21" t="n">
        <f aca="false">IFERROR(B5/(Допущения!$B$24*(1-Допущения!$B$25)),0)</f>
        <v>0.102156862745098</v>
      </c>
      <c r="C8" s="21" t="n">
        <f aca="false">IFERROR(C5/(Допущения!$B$24*(1-Допущения!$B$25)),0)</f>
        <v>0.345702614379085</v>
      </c>
      <c r="D8" s="21" t="n">
        <f aca="false">IFERROR(D5/(Допущения!$B$24*(1-Допущения!$B$25)),0)</f>
        <v>0.313186274509804</v>
      </c>
      <c r="E8" s="21" t="n">
        <f aca="false">IFERROR(E5/(Допущения!$B$24*(1-Допущения!$B$25)),0)</f>
        <v>0.250359477124183</v>
      </c>
      <c r="F8" s="21" t="n">
        <f aca="false">IFERROR(F5/(Допущения!$B$24*(1-Допущения!$B$25)),0)</f>
        <v>0.129117647058824</v>
      </c>
    </row>
    <row r="10" customFormat="false" ht="48" hidden="false" customHeight="true" outlineLevel="0" collapsed="false">
      <c r="A10" s="23" t="s">
        <v>73</v>
      </c>
      <c r="B10" s="23" t="s">
        <v>9</v>
      </c>
      <c r="C10" s="23" t="s">
        <v>10</v>
      </c>
      <c r="D10" s="23" t="s">
        <v>11</v>
      </c>
      <c r="E10" s="23" t="s">
        <v>12</v>
      </c>
      <c r="F10" s="23" t="s">
        <v>13</v>
      </c>
    </row>
    <row r="11" customFormat="false" ht="15" hidden="false" customHeight="false" outlineLevel="0" collapsed="false">
      <c r="A11" s="5" t="s">
        <v>74</v>
      </c>
      <c r="B11" s="27" t="n">
        <f aca="false">Допущения!$B$38*B5+Допущения!$B$39*B7/2+Допущения!$B$40*B4+Допущения!$B$41*B6/2</f>
        <v>6.063</v>
      </c>
      <c r="C11" s="27" t="n">
        <f aca="false">Допущения!$B$38*C5+Допущения!$B$39*C7/2+Допущения!$B$40*C4+Допущения!$B$41*C6/2</f>
        <v>13.5155</v>
      </c>
      <c r="D11" s="27" t="n">
        <f aca="false">Допущения!$B$38*D5+Допущения!$B$39*D7/2+Допущения!$B$40*D4+Допущения!$B$41*D6/2</f>
        <v>12.5205</v>
      </c>
      <c r="E11" s="27" t="n">
        <f aca="false">Допущения!$B$38*E5+Допущения!$B$39*E7/2+Допущения!$B$40*E4+Допущения!$B$41*E6/2</f>
        <v>10.598</v>
      </c>
      <c r="F11" s="27" t="n">
        <f aca="false">Допущения!$B$38*F5+Допущения!$B$39*F7/2+Допущения!$B$40*F4+Допущения!$B$41*F6/2</f>
        <v>6.888</v>
      </c>
    </row>
    <row r="12" customFormat="false" ht="15" hidden="false" customHeight="false" outlineLevel="0" collapsed="false">
      <c r="A12" s="5" t="s">
        <v>75</v>
      </c>
      <c r="B12" s="7" t="n">
        <f aca="false">Допущения!$B$6-Допущения!$B$43</f>
        <v>3900</v>
      </c>
      <c r="C12" s="7" t="n">
        <f aca="false">Допущения!$B$6-Допущения!$B$43</f>
        <v>3900</v>
      </c>
      <c r="D12" s="7" t="n">
        <f aca="false">Допущения!$B$6-Допущения!$B$43</f>
        <v>3900</v>
      </c>
      <c r="E12" s="7" t="n">
        <f aca="false">Допущения!$B$6-Допущения!$B$43</f>
        <v>3900</v>
      </c>
      <c r="F12" s="7" t="n">
        <f aca="false">Допущения!$B$6-Допущения!$B$43</f>
        <v>3900</v>
      </c>
    </row>
    <row r="13" customFormat="false" ht="15" hidden="false" customHeight="false" outlineLevel="0" collapsed="false">
      <c r="A13" s="5" t="s">
        <v>76</v>
      </c>
      <c r="B13" s="30" t="n">
        <f aca="false">B11*B12</f>
        <v>23645.7</v>
      </c>
      <c r="C13" s="30" t="n">
        <f aca="false">C11*C12</f>
        <v>52710.45</v>
      </c>
      <c r="D13" s="30" t="n">
        <f aca="false">D11*D12</f>
        <v>48829.95</v>
      </c>
      <c r="E13" s="30" t="n">
        <f aca="false">E11*E12</f>
        <v>41332.2</v>
      </c>
      <c r="F13" s="30" t="n">
        <f aca="false">F11*F12</f>
        <v>26863.2</v>
      </c>
    </row>
    <row r="14" customFormat="false" ht="15" hidden="false" customHeight="false" outlineLevel="0" collapsed="false">
      <c r="A14" s="5" t="s">
        <v>77</v>
      </c>
      <c r="B14" s="30" t="n">
        <f aca="false">-Допущения!$B$43*(Себестоимость!B12+Допущения!$B$44)</f>
        <v>-1970</v>
      </c>
      <c r="C14" s="30" t="n">
        <f aca="false">-Допущения!$B$43*(Себестоимость!C12+Допущения!$B$44)</f>
        <v>-1224.75</v>
      </c>
      <c r="D14" s="30" t="n">
        <f aca="false">-Допущения!$B$43*(Себестоимость!D12+Допущения!$B$44)</f>
        <v>-1324.25</v>
      </c>
      <c r="E14" s="30" t="n">
        <f aca="false">-Допущения!$B$43*(Себестоимость!E12+Допущения!$B$44)</f>
        <v>-1516.5</v>
      </c>
      <c r="F14" s="30" t="n">
        <f aca="false">-Допущения!$B$43*(Себестоимость!F12+Допущения!$B$44)</f>
        <v>-1887.5</v>
      </c>
    </row>
    <row r="15" customFormat="false" ht="15" hidden="false" customHeight="false" outlineLevel="0" collapsed="false">
      <c r="A15" s="25" t="s">
        <v>78</v>
      </c>
      <c r="B15" s="28" t="n">
        <f aca="false">B13+B14</f>
        <v>21675.7</v>
      </c>
      <c r="C15" s="28" t="n">
        <f aca="false">C13+C14</f>
        <v>51485.7</v>
      </c>
      <c r="D15" s="28" t="n">
        <f aca="false">D13+D14</f>
        <v>47505.7</v>
      </c>
      <c r="E15" s="28" t="n">
        <f aca="false">E13+E14</f>
        <v>39815.7</v>
      </c>
      <c r="F15" s="28" t="n">
        <f aca="false">F13+F14</f>
        <v>24975.7</v>
      </c>
    </row>
    <row r="16" customFormat="false" ht="15" hidden="false" customHeight="false" outlineLevel="0" collapsed="false">
      <c r="A16" s="5" t="s">
        <v>79</v>
      </c>
      <c r="B16" s="31" t="n">
        <f aca="false">Себестоимость!B15</f>
        <v>45600</v>
      </c>
      <c r="C16" s="31" t="n">
        <f aca="false">Себестоимость!C15</f>
        <v>15790</v>
      </c>
      <c r="D16" s="31" t="n">
        <f aca="false">Себестоимость!D15</f>
        <v>19770</v>
      </c>
      <c r="E16" s="31" t="n">
        <f aca="false">Себестоимость!E15</f>
        <v>27460</v>
      </c>
      <c r="F16" s="31" t="n">
        <f aca="false">Себестоимость!F15</f>
        <v>42300</v>
      </c>
    </row>
    <row r="17" customFormat="false" ht="15" hidden="false" customHeight="false" outlineLevel="0" collapsed="false">
      <c r="A17" s="5" t="s">
        <v>80</v>
      </c>
      <c r="B17" s="21" t="n">
        <f aca="false">IFERROR(B15/B16,0)</f>
        <v>0.475344298245614</v>
      </c>
      <c r="C17" s="21" t="n">
        <f aca="false">IFERROR(C15/C16,0)</f>
        <v>3.26065231158961</v>
      </c>
      <c r="D17" s="21" t="n">
        <f aca="false">IFERROR(D15/D16,0)</f>
        <v>2.40291856348002</v>
      </c>
      <c r="E17" s="21" t="n">
        <f aca="false">IFERROR(E15/E16,0)</f>
        <v>1.44995265841224</v>
      </c>
      <c r="F17" s="21" t="n">
        <f aca="false">IFERROR(F15/F16,0)</f>
        <v>0.590442080378251</v>
      </c>
    </row>
    <row r="18" customFormat="false" ht="15" hidden="false" customHeight="false" outlineLevel="0" collapsed="false">
      <c r="A18" s="5" t="s">
        <v>81</v>
      </c>
      <c r="B18" s="7" t="n">
        <f aca="false">IFERROR(B16/(B11+Себестоимость!B12),0)</f>
        <v>2611.23518295825</v>
      </c>
      <c r="C18" s="7" t="n">
        <f aca="false">IFERROR(C16/(C11+Себестоимость!C12),0)</f>
        <v>904.197446028747</v>
      </c>
      <c r="D18" s="7" t="n">
        <f aca="false">IFERROR(D16/(D11+Себестоимость!D12),0)</f>
        <v>1132.10788524309</v>
      </c>
      <c r="E18" s="7" t="n">
        <f aca="false">IFERROR(E16/(E11+Себестоимость!E12),0)</f>
        <v>1572.46750272004</v>
      </c>
      <c r="F18" s="7" t="n">
        <f aca="false">IFERROR(F16/(F11+Себестоимость!F12),0)</f>
        <v>2422.26421577049</v>
      </c>
    </row>
    <row r="20" customFormat="false" ht="15" hidden="false" customHeight="false" outlineLevel="0" collapsed="false">
      <c r="A20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2026-10-29T19:19:30Z</dcterms:created>
  <dc:creator>openpyxl</dc:creator>
  <dc:description/>
  <dc:language>en-US</dc:language>
  <cp:lastModifiedBy/>
  <dcterms:modified xsi:type="dcterms:W3CDTF">2026-10-29T19:19:30Z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